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Missingness" sheetId="1" r:id="rId1"/>
    <sheet name="B_Outliers_IQR" sheetId="2" r:id="rId2"/>
    <sheet name="C_ClassImbalance" sheetId="3" r:id="rId3"/>
    <sheet name="D1_Univariate_NumStats" sheetId="4" r:id="rId4"/>
    <sheet name="D2_Corr_with_TARGET" sheetId="5" r:id="rId5"/>
    <sheet name="E_Prev_Corr_TARGET" sheetId="6" r:id="rId6"/>
    <sheet name="Prev_Status_Shares" sheetId="7" r:id="rId7"/>
    <sheet name="D3_SegCorr_Cash loans" sheetId="8" r:id="rId8"/>
    <sheet name="D3_SegCorr_Revolving loans" sheetId="9" r:id="rId9"/>
    <sheet name="Excel_Tips" sheetId="10" r:id="rId10"/>
  </sheets>
  <calcPr calcId="124519" fullCalcOnLoad="1"/>
</workbook>
</file>

<file path=xl/sharedStrings.xml><?xml version="1.0" encoding="utf-8"?>
<sst xmlns="http://schemas.openxmlformats.org/spreadsheetml/2006/main" count="529" uniqueCount="172">
  <si>
    <t>column</t>
  </si>
  <si>
    <t>missing_count</t>
  </si>
  <si>
    <t>missing_pct</t>
  </si>
  <si>
    <t>COMMONAREA_MEDI</t>
  </si>
  <si>
    <t>COMMONAREA_AVG</t>
  </si>
  <si>
    <t>COMMONAREA_MODE</t>
  </si>
  <si>
    <t>NONLIVINGAPARTMENTS_MODE</t>
  </si>
  <si>
    <t>NONLIVINGAPARTMENTS_AVG</t>
  </si>
  <si>
    <t>NONLIVINGAPARTMENTS_MEDI</t>
  </si>
  <si>
    <t>LIVINGAPARTMENTS_MODE</t>
  </si>
  <si>
    <t>LIVINGAPARTMENTS_AVG</t>
  </si>
  <si>
    <t>LIVINGAPARTMENTS_MEDI</t>
  </si>
  <si>
    <t>FONDKAPREMONT_MODE</t>
  </si>
  <si>
    <t>FLOORSMIN_AVG</t>
  </si>
  <si>
    <t>FLOORSMIN_MODE</t>
  </si>
  <si>
    <t>FLOORSMIN_MEDI</t>
  </si>
  <si>
    <t>YEARS_BUILD_MEDI</t>
  </si>
  <si>
    <t>YEARS_BUILD_MODE</t>
  </si>
  <si>
    <t>YEARS_BUILD_AVG</t>
  </si>
  <si>
    <t>OWN_CAR_AGE</t>
  </si>
  <si>
    <t>LANDAREA_MEDI</t>
  </si>
  <si>
    <t>LANDAREA_MODE</t>
  </si>
  <si>
    <t>LANDAREA_AVG</t>
  </si>
  <si>
    <t>BASEMENTAREA_MEDI</t>
  </si>
  <si>
    <t>BASEMENTAREA_AVG</t>
  </si>
  <si>
    <t>BASEMENTAREA_MODE</t>
  </si>
  <si>
    <t>EXT_SOURCE_1</t>
  </si>
  <si>
    <t>NONLIVINGAREA_MODE</t>
  </si>
  <si>
    <t>NONLIVINGAREA_AVG</t>
  </si>
  <si>
    <t>NONLIVINGAREA_MEDI</t>
  </si>
  <si>
    <t>ELEVATORS_MEDI</t>
  </si>
  <si>
    <t>ELEVATORS_AVG</t>
  </si>
  <si>
    <t>ELEVATORS_MODE</t>
  </si>
  <si>
    <t>WALLSMATERIAL_MODE</t>
  </si>
  <si>
    <t>APARTMENTS_MEDI</t>
  </si>
  <si>
    <t>APARTMENTS_AVG</t>
  </si>
  <si>
    <t>APARTMENTS_MODE</t>
  </si>
  <si>
    <t>ENTRANCES_MEDI</t>
  </si>
  <si>
    <t>ENTRANCES_AVG</t>
  </si>
  <si>
    <t>ENTRANCES_MODE</t>
  </si>
  <si>
    <t>LIVINGAREA_AVG</t>
  </si>
  <si>
    <t>LIVINGAREA_MODE</t>
  </si>
  <si>
    <t>LIVINGAREA_MEDI</t>
  </si>
  <si>
    <t>HOUSETYPE_MODE</t>
  </si>
  <si>
    <t>FLOORSMAX_MODE</t>
  </si>
  <si>
    <t>FLOORSMAX_MEDI</t>
  </si>
  <si>
    <t>FLOORSMAX_AVG</t>
  </si>
  <si>
    <t>YEARS_BEGINEXPLUATATION_MODE</t>
  </si>
  <si>
    <t>YEARS_BEGINEXPLUATATION_MEDI</t>
  </si>
  <si>
    <t>YEARS_BEGINEXPLUATATION_AVG</t>
  </si>
  <si>
    <t>TOTALAREA_MODE</t>
  </si>
  <si>
    <t>EMERGENCYSTATE_MODE</t>
  </si>
  <si>
    <t>OCCUPATION_TYPE</t>
  </si>
  <si>
    <t>EXT_SOURCE_3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</si>
  <si>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</si>
  <si>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</si>
  <si>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</si>
  <si>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</si>
  <si>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</si>
  <si>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</si>
  <si>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NAME_TYPE_SUITE</t>
  </si>
  <si>
    <t>DEF_30_CNT_SOCIAL_CIRCLE</t>
  </si>
  <si>
    <t>OBS_30_CNT_SOCIAL_CIRCLE</t>
  </si>
  <si>
    <t>OBS_60_CNT_SOCIAL_CIRCLE</t>
  </si>
  <si>
    <t>DEF_60_CNT_SOCIAL_CIRCLE</t>
  </si>
  <si>
    <t>EXT_SOURCE_2</t>
  </si>
  <si>
    <t>AMT_GOODS_PRICE</t>
  </si>
  <si>
    <t>CNT_CHILDREN</t>
  </si>
  <si>
    <t>FLAG_DOCUMENT_8</t>
  </si>
  <si>
    <t>NAME_CONTRACT_TYPE</t>
  </si>
  <si>
    <t>CODE_GENDER</t>
  </si>
  <si>
    <t>FLAG_OWN_CAR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</si>
  <si>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</si>
  <si>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</si>
  <si>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</si>
  <si>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</si>
  <si>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</si>
  <si>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</si>
  <si>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</si>
  <si>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FLAG_DOCUMENT_9</t>
  </si>
  <si>
    <t>FLAG_DOCUMENT_21</t>
  </si>
  <si>
    <t>FLAG_DOCUMENT_10</t>
  </si>
  <si>
    <t>FLAG_DOCUMENT_11</t>
  </si>
  <si>
    <t>FLAG_OWN_REALTY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</si>
  <si>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</si>
  <si>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</si>
  <si>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</si>
  <si>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</si>
  <si>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</si>
  <si>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</si>
  <si>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</si>
  <si>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</si>
  <si>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FLAG_DOCUMENT_12</t>
  </si>
  <si>
    <t>AMT_CREDIT</t>
  </si>
  <si>
    <t>AMT_INCOME_TOTAL</t>
  </si>
  <si>
    <t>FLAG_PHONE</t>
  </si>
  <si>
    <t>LIVE_CITY_NOT_WORK_CITY</t>
  </si>
  <si>
    <t>REG_CITY_NOT_WORK_CITY</t>
  </si>
  <si>
    <t>TARGET</t>
  </si>
  <si>
    <t>REG_CITY_NOT_LIVE_CITY</t>
  </si>
  <si>
    <t>LIVE_REGION_NOT_WORK_REGION</t>
  </si>
  <si>
    <t>REG_REGION_NOT_WORK_REGION</t>
  </si>
  <si>
    <t>REG_REGION_NOT_LIVE_REGION</t>
  </si>
  <si>
    <t>HOUR_APPR_PROCESS_START</t>
  </si>
  <si>
    <t>WEEKDAY_APPR_PROCESS_START</t>
  </si>
  <si>
    <t>REGION_RATING_CLIENT_W_CITY</t>
  </si>
  <si>
    <t>REGION_RATING_CLIENT</t>
  </si>
  <si>
    <t>CNT_FAM_MEMBERS</t>
  </si>
  <si>
    <t>FLAG_EMAIL</t>
  </si>
  <si>
    <t>FLAG_CONT_MOBILE</t>
  </si>
  <si>
    <t>ORGANIZATION_TYPE</t>
  </si>
  <si>
    <t>FLAG_WORK_PHONE</t>
  </si>
  <si>
    <t>FLAG_EMP_PHONE</t>
  </si>
  <si>
    <t>FLAG_MOBIL</t>
  </si>
  <si>
    <t>DAYS_ID_PUBLISH</t>
  </si>
  <si>
    <t>DAYS_REGISTRATION</t>
  </si>
  <si>
    <t>DAYS_EMPLOYED</t>
  </si>
  <si>
    <t>DAYS_BIRTH</t>
  </si>
  <si>
    <t>REGION_POPULATION_RELATIVE</t>
  </si>
  <si>
    <t>NAME_HOUSING_TYPE</t>
  </si>
  <si>
    <t>NAME_FAMILY_STATUS</t>
  </si>
  <si>
    <t>NAME_EDUCATION_TYPE</t>
  </si>
  <si>
    <t>NAME_INCOME_TYPE</t>
  </si>
  <si>
    <t>AMT_ANNUITY</t>
  </si>
  <si>
    <t>SK_ID_CURR</t>
  </si>
  <si>
    <t>n_outliers</t>
  </si>
  <si>
    <t>pct_outliers</t>
  </si>
  <si>
    <t>q1</t>
  </si>
  <si>
    <t>q3</t>
  </si>
  <si>
    <t>iqr_lower</t>
  </si>
  <si>
    <t>iqr_upper</t>
  </si>
  <si>
    <t>winsor_lo(p1)</t>
  </si>
  <si>
    <t>winsor_hi(p99)</t>
  </si>
  <si>
    <t>count</t>
  </si>
  <si>
    <t>pct</t>
  </si>
  <si>
    <t>mean</t>
  </si>
  <si>
    <t>std</t>
  </si>
  <si>
    <t>min</t>
  </si>
  <si>
    <t>1%</t>
  </si>
  <si>
    <t>5%</t>
  </si>
  <si>
    <t>25%</t>
  </si>
  <si>
    <t>50%</t>
  </si>
  <si>
    <t>75%</t>
  </si>
  <si>
    <t>95%</t>
  </si>
  <si>
    <t>99%</t>
  </si>
  <si>
    <t>max</t>
  </si>
  <si>
    <t>missing</t>
  </si>
  <si>
    <t>AGE_YEARS</t>
  </si>
  <si>
    <t>EMPLOY_YEARS</t>
  </si>
  <si>
    <t>CREDIT_INCOME_RATIO</t>
  </si>
  <si>
    <t>ANNUITY_INCOME_RATIO</t>
  </si>
  <si>
    <t>pearson_correlation</t>
  </si>
  <si>
    <t>abs_corr</t>
  </si>
  <si>
    <t>PREV_REFUSED_RATE</t>
  </si>
  <si>
    <t>PREV_APPROVAL_RATE</t>
  </si>
  <si>
    <t>PREV_APP_CNT</t>
  </si>
  <si>
    <t>NAME_CONTRACT_STATUS</t>
  </si>
  <si>
    <t>share</t>
  </si>
  <si>
    <t>Approved</t>
  </si>
  <si>
    <t>Refused</t>
  </si>
  <si>
    <t>Canceled</t>
  </si>
  <si>
    <t>Unused offer</t>
  </si>
  <si>
    <t>Task</t>
  </si>
  <si>
    <t>Example Formula</t>
  </si>
  <si>
    <t>Missingness</t>
  </si>
  <si>
    <t>Outliers (IQR)</t>
  </si>
  <si>
    <t>Class Imbalance</t>
  </si>
  <si>
    <t>Univariate (mean)</t>
  </si>
  <si>
    <t>Segmented Pivot</t>
  </si>
  <si>
    <t>Correlation (Pearson)</t>
  </si>
  <si>
    <t>Q1:=QUARTILE.INC(A2:A1000,1) | Q3:=QUARTILE.INC(A2:A1000,3) | IQR:=Q3-Q1 | Lower:=Q1-1.5*IQR | Upper:=Q3+1.5*IQR</t>
  </si>
  <si>
    <t>Pivot: Rows=TARGET, Columns=NAME_CONTRACT_TYPE, Values=AVERAGE of AMT_CREDIT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</si>
</sst>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34960</v>
      </c>
      <c r="C2">
        <v>69.92</v>
      </c>
    </row>
    <row r="3" spans="1:3">
      <c r="A3" t="s">
        <v>4</v>
      </c>
      <c r="B3">
        <v>34960</v>
      </c>
      <c r="C3">
        <v>69.92</v>
      </c>
    </row>
    <row r="4" spans="1:3">
      <c r="A4" t="s">
        <v>5</v>
      </c>
      <c r="B4">
        <v>34960</v>
      </c>
      <c r="C4">
        <v>69.92</v>
      </c>
    </row>
    <row r="5" spans="1:3">
      <c r="A5" t="s">
        <v>6</v>
      </c>
      <c r="B5">
        <v>34714</v>
      </c>
      <c r="C5">
        <v>69.43000000000001</v>
      </c>
    </row>
    <row r="6" spans="1:3">
      <c r="A6" t="s">
        <v>7</v>
      </c>
      <c r="B6">
        <v>34714</v>
      </c>
      <c r="C6">
        <v>69.43000000000001</v>
      </c>
    </row>
    <row r="7" spans="1:3">
      <c r="A7" t="s">
        <v>8</v>
      </c>
      <c r="B7">
        <v>34714</v>
      </c>
      <c r="C7">
        <v>69.43000000000001</v>
      </c>
    </row>
    <row r="8" spans="1:3">
      <c r="A8" t="s">
        <v>9</v>
      </c>
      <c r="B8">
        <v>34226</v>
      </c>
      <c r="C8">
        <v>68.45</v>
      </c>
    </row>
    <row r="9" spans="1:3">
      <c r="A9" t="s">
        <v>10</v>
      </c>
      <c r="B9">
        <v>34226</v>
      </c>
      <c r="C9">
        <v>68.45</v>
      </c>
    </row>
    <row r="10" spans="1:3">
      <c r="A10" t="s">
        <v>11</v>
      </c>
      <c r="B10">
        <v>34226</v>
      </c>
      <c r="C10">
        <v>68.45</v>
      </c>
    </row>
    <row r="11" spans="1:3">
      <c r="A11" t="s">
        <v>12</v>
      </c>
      <c r="B11">
        <v>34191</v>
      </c>
      <c r="C11">
        <v>68.38</v>
      </c>
    </row>
    <row r="12" spans="1:3">
      <c r="A12" t="s">
        <v>13</v>
      </c>
      <c r="B12">
        <v>33894</v>
      </c>
      <c r="C12">
        <v>67.79000000000001</v>
      </c>
    </row>
    <row r="13" spans="1:3">
      <c r="A13" t="s">
        <v>14</v>
      </c>
      <c r="B13">
        <v>33894</v>
      </c>
      <c r="C13">
        <v>67.79000000000001</v>
      </c>
    </row>
    <row r="14" spans="1:3">
      <c r="A14" t="s">
        <v>15</v>
      </c>
      <c r="B14">
        <v>33894</v>
      </c>
      <c r="C14">
        <v>67.79000000000001</v>
      </c>
    </row>
    <row r="15" spans="1:3">
      <c r="A15" t="s">
        <v>16</v>
      </c>
      <c r="B15">
        <v>33239</v>
      </c>
      <c r="C15">
        <v>66.48</v>
      </c>
    </row>
    <row r="16" spans="1:3">
      <c r="A16" t="s">
        <v>17</v>
      </c>
      <c r="B16">
        <v>33239</v>
      </c>
      <c r="C16">
        <v>66.48</v>
      </c>
    </row>
    <row r="17" spans="1:3">
      <c r="A17" t="s">
        <v>18</v>
      </c>
      <c r="B17">
        <v>33239</v>
      </c>
      <c r="C17">
        <v>66.48</v>
      </c>
    </row>
    <row r="18" spans="1:3">
      <c r="A18" t="s">
        <v>19</v>
      </c>
      <c r="B18">
        <v>32950</v>
      </c>
      <c r="C18">
        <v>65.90000000000001</v>
      </c>
    </row>
    <row r="19" spans="1:3">
      <c r="A19" t="s">
        <v>20</v>
      </c>
      <c r="B19">
        <v>29721</v>
      </c>
      <c r="C19">
        <v>59.44</v>
      </c>
    </row>
    <row r="20" spans="1:3">
      <c r="A20" t="s">
        <v>21</v>
      </c>
      <c r="B20">
        <v>29721</v>
      </c>
      <c r="C20">
        <v>59.44</v>
      </c>
    </row>
    <row r="21" spans="1:3">
      <c r="A21" t="s">
        <v>22</v>
      </c>
      <c r="B21">
        <v>29721</v>
      </c>
      <c r="C21">
        <v>59.44</v>
      </c>
    </row>
    <row r="22" spans="1:3">
      <c r="A22" t="s">
        <v>23</v>
      </c>
      <c r="B22">
        <v>29199</v>
      </c>
      <c r="C22">
        <v>58.4</v>
      </c>
    </row>
    <row r="23" spans="1:3">
      <c r="A23" t="s">
        <v>24</v>
      </c>
      <c r="B23">
        <v>29199</v>
      </c>
      <c r="C23">
        <v>58.4</v>
      </c>
    </row>
    <row r="24" spans="1:3">
      <c r="A24" t="s">
        <v>25</v>
      </c>
      <c r="B24">
        <v>29199</v>
      </c>
      <c r="C24">
        <v>58.4</v>
      </c>
    </row>
    <row r="25" spans="1:3">
      <c r="A25" t="s">
        <v>26</v>
      </c>
      <c r="B25">
        <v>28172</v>
      </c>
      <c r="C25">
        <v>56.35</v>
      </c>
    </row>
    <row r="26" spans="1:3">
      <c r="A26" t="s">
        <v>27</v>
      </c>
      <c r="B26">
        <v>27572</v>
      </c>
      <c r="C26">
        <v>55.15</v>
      </c>
    </row>
    <row r="27" spans="1:3">
      <c r="A27" t="s">
        <v>28</v>
      </c>
      <c r="B27">
        <v>27572</v>
      </c>
      <c r="C27">
        <v>55.15</v>
      </c>
    </row>
    <row r="28" spans="1:3">
      <c r="A28" t="s">
        <v>29</v>
      </c>
      <c r="B28">
        <v>27572</v>
      </c>
      <c r="C28">
        <v>55.15</v>
      </c>
    </row>
    <row r="29" spans="1:3">
      <c r="A29" t="s">
        <v>30</v>
      </c>
      <c r="B29">
        <v>26651</v>
      </c>
      <c r="C29">
        <v>53.3</v>
      </c>
    </row>
    <row r="30" spans="1:3">
      <c r="A30" t="s">
        <v>31</v>
      </c>
      <c r="B30">
        <v>26651</v>
      </c>
      <c r="C30">
        <v>53.3</v>
      </c>
    </row>
    <row r="31" spans="1:3">
      <c r="A31" t="s">
        <v>32</v>
      </c>
      <c r="B31">
        <v>26651</v>
      </c>
      <c r="C31">
        <v>53.3</v>
      </c>
    </row>
    <row r="32" spans="1:3">
      <c r="A32" t="s">
        <v>33</v>
      </c>
      <c r="B32">
        <v>25459</v>
      </c>
      <c r="C32">
        <v>50.92</v>
      </c>
    </row>
    <row r="33" spans="1:3">
      <c r="A33" t="s">
        <v>34</v>
      </c>
      <c r="B33">
        <v>25385</v>
      </c>
      <c r="C33">
        <v>50.77</v>
      </c>
    </row>
    <row r="34" spans="1:3">
      <c r="A34" t="s">
        <v>35</v>
      </c>
      <c r="B34">
        <v>25385</v>
      </c>
      <c r="C34">
        <v>50.77</v>
      </c>
    </row>
    <row r="35" spans="1:3">
      <c r="A35" t="s">
        <v>36</v>
      </c>
      <c r="B35">
        <v>25385</v>
      </c>
      <c r="C35">
        <v>50.77</v>
      </c>
    </row>
    <row r="36" spans="1:3">
      <c r="A36" t="s">
        <v>37</v>
      </c>
      <c r="B36">
        <v>25195</v>
      </c>
      <c r="C36">
        <v>50.39</v>
      </c>
    </row>
    <row r="37" spans="1:3">
      <c r="A37" t="s">
        <v>38</v>
      </c>
      <c r="B37">
        <v>25195</v>
      </c>
      <c r="C37">
        <v>50.39</v>
      </c>
    </row>
    <row r="38" spans="1:3">
      <c r="A38" t="s">
        <v>39</v>
      </c>
      <c r="B38">
        <v>25195</v>
      </c>
      <c r="C38">
        <v>50.39</v>
      </c>
    </row>
    <row r="39" spans="1:3">
      <c r="A39" t="s">
        <v>40</v>
      </c>
      <c r="B39">
        <v>25137</v>
      </c>
      <c r="C39">
        <v>50.28</v>
      </c>
    </row>
    <row r="40" spans="1:3">
      <c r="A40" t="s">
        <v>41</v>
      </c>
      <c r="B40">
        <v>25137</v>
      </c>
      <c r="C40">
        <v>50.28</v>
      </c>
    </row>
    <row r="41" spans="1:3">
      <c r="A41" t="s">
        <v>42</v>
      </c>
      <c r="B41">
        <v>25137</v>
      </c>
      <c r="C41">
        <v>50.28</v>
      </c>
    </row>
    <row r="42" spans="1:3">
      <c r="A42" t="s">
        <v>43</v>
      </c>
      <c r="B42">
        <v>25075</v>
      </c>
      <c r="C42">
        <v>50.15</v>
      </c>
    </row>
    <row r="43" spans="1:3">
      <c r="A43" t="s">
        <v>44</v>
      </c>
      <c r="B43">
        <v>24875</v>
      </c>
      <c r="C43">
        <v>49.75</v>
      </c>
    </row>
    <row r="44" spans="1:3">
      <c r="A44" t="s">
        <v>45</v>
      </c>
      <c r="B44">
        <v>24875</v>
      </c>
      <c r="C44">
        <v>49.75</v>
      </c>
    </row>
    <row r="45" spans="1:3">
      <c r="A45" t="s">
        <v>46</v>
      </c>
      <c r="B45">
        <v>24875</v>
      </c>
      <c r="C45">
        <v>49.75</v>
      </c>
    </row>
    <row r="46" spans="1:3">
      <c r="A46" t="s">
        <v>47</v>
      </c>
      <c r="B46">
        <v>24394</v>
      </c>
      <c r="C46">
        <v>48.79</v>
      </c>
    </row>
    <row r="47" spans="1:3">
      <c r="A47" t="s">
        <v>48</v>
      </c>
      <c r="B47">
        <v>24394</v>
      </c>
      <c r="C47">
        <v>48.79</v>
      </c>
    </row>
    <row r="48" spans="1:3">
      <c r="A48" t="s">
        <v>49</v>
      </c>
      <c r="B48">
        <v>24394</v>
      </c>
      <c r="C48">
        <v>48.79</v>
      </c>
    </row>
    <row r="49" spans="1:3">
      <c r="A49" t="s">
        <v>50</v>
      </c>
      <c r="B49">
        <v>24148</v>
      </c>
      <c r="C49">
        <v>48.3</v>
      </c>
    </row>
    <row r="50" spans="1:3">
      <c r="A50" t="s">
        <v>51</v>
      </c>
      <c r="B50">
        <v>23698</v>
      </c>
      <c r="C50">
        <v>47.4</v>
      </c>
    </row>
    <row r="51" spans="1:3">
      <c r="A51" t="s">
        <v>52</v>
      </c>
      <c r="B51">
        <v>15654</v>
      </c>
      <c r="C51">
        <v>31.31</v>
      </c>
    </row>
    <row r="52" spans="1:3">
      <c r="A52" t="s">
        <v>53</v>
      </c>
      <c r="B52">
        <v>9944</v>
      </c>
      <c r="C52">
        <v>19.89</v>
      </c>
    </row>
    <row r="53" spans="1:3">
      <c r="A53" t="s">
        <v>54</v>
      </c>
      <c r="B53">
        <v>6734</v>
      </c>
      <c r="C53">
        <v>13.47</v>
      </c>
    </row>
    <row r="54" spans="1:3">
      <c r="A54" t="s">
        <v>55</v>
      </c>
      <c r="B54">
        <v>6734</v>
      </c>
      <c r="C54">
        <v>13.47</v>
      </c>
    </row>
    <row r="55" spans="1:3">
      <c r="A55" t="s">
        <v>56</v>
      </c>
      <c r="B55">
        <v>6734</v>
      </c>
      <c r="C55">
        <v>13.47</v>
      </c>
    </row>
    <row r="56" spans="1:3">
      <c r="A56" t="s">
        <v>57</v>
      </c>
      <c r="B56">
        <v>6734</v>
      </c>
      <c r="C56">
        <v>13.47</v>
      </c>
    </row>
    <row r="57" spans="1:3">
      <c r="A57" t="s">
        <v>58</v>
      </c>
      <c r="B57">
        <v>6734</v>
      </c>
      <c r="C57">
        <v>13.47</v>
      </c>
    </row>
    <row r="58" spans="1:3">
      <c r="A58" t="s">
        <v>59</v>
      </c>
      <c r="B58">
        <v>6734</v>
      </c>
      <c r="C58">
        <v>13.47</v>
      </c>
    </row>
    <row r="59" spans="1:3">
      <c r="A59" t="s">
        <v>60</v>
      </c>
      <c r="B59">
        <v>192</v>
      </c>
      <c r="C59">
        <v>0.38</v>
      </c>
    </row>
    <row r="60" spans="1:3">
      <c r="A60" t="s">
        <v>61</v>
      </c>
      <c r="B60">
        <v>168</v>
      </c>
      <c r="C60">
        <v>0.34</v>
      </c>
    </row>
    <row r="61" spans="1:3">
      <c r="A61" t="s">
        <v>62</v>
      </c>
      <c r="B61">
        <v>168</v>
      </c>
      <c r="C61">
        <v>0.34</v>
      </c>
    </row>
    <row r="62" spans="1:3">
      <c r="A62" t="s">
        <v>63</v>
      </c>
      <c r="B62">
        <v>168</v>
      </c>
      <c r="C62">
        <v>0.34</v>
      </c>
    </row>
    <row r="63" spans="1:3">
      <c r="A63" t="s">
        <v>64</v>
      </c>
      <c r="B63">
        <v>168</v>
      </c>
      <c r="C63">
        <v>0.34</v>
      </c>
    </row>
    <row r="64" spans="1:3">
      <c r="A64" t="s">
        <v>65</v>
      </c>
      <c r="B64">
        <v>126</v>
      </c>
      <c r="C64">
        <v>0.25</v>
      </c>
    </row>
    <row r="65" spans="1:3">
      <c r="A65" t="s">
        <v>66</v>
      </c>
      <c r="B65">
        <v>38</v>
      </c>
      <c r="C65">
        <v>0.08</v>
      </c>
    </row>
    <row r="66" spans="1:3">
      <c r="A66" t="s">
        <v>67</v>
      </c>
      <c r="B66">
        <v>0</v>
      </c>
      <c r="C66">
        <v>0</v>
      </c>
    </row>
    <row r="67" spans="1:3">
      <c r="A67" t="s">
        <v>68</v>
      </c>
      <c r="B67">
        <v>0</v>
      </c>
      <c r="C67">
        <v>0</v>
      </c>
    </row>
    <row r="68" spans="1:3">
      <c r="A68" t="s">
        <v>69</v>
      </c>
      <c r="B68">
        <v>0</v>
      </c>
      <c r="C68">
        <v>0</v>
      </c>
    </row>
    <row r="69" spans="1:3">
      <c r="A69" t="s">
        <v>70</v>
      </c>
      <c r="B69">
        <v>0</v>
      </c>
      <c r="C69">
        <v>0</v>
      </c>
    </row>
    <row r="70" spans="1:3">
      <c r="A70" t="s">
        <v>71</v>
      </c>
      <c r="B70">
        <v>0</v>
      </c>
      <c r="C70">
        <v>0</v>
      </c>
    </row>
    <row r="71" spans="1:3">
      <c r="A71" t="s">
        <v>72</v>
      </c>
      <c r="B71">
        <v>1</v>
      </c>
      <c r="C71">
        <v>0</v>
      </c>
    </row>
    <row r="72" spans="1:3">
      <c r="A72" t="s">
        <v>73</v>
      </c>
      <c r="B72">
        <v>0</v>
      </c>
      <c r="C72">
        <v>0</v>
      </c>
    </row>
    <row r="73" spans="1:3">
      <c r="A73" t="s">
        <v>74</v>
      </c>
      <c r="B73">
        <v>0</v>
      </c>
      <c r="C73">
        <v>0</v>
      </c>
    </row>
    <row r="74" spans="1:3">
      <c r="A74" t="s">
        <v>75</v>
      </c>
      <c r="B74">
        <v>0</v>
      </c>
      <c r="C74">
        <v>0</v>
      </c>
    </row>
    <row r="75" spans="1:3">
      <c r="A75" t="s">
        <v>76</v>
      </c>
      <c r="B75">
        <v>0</v>
      </c>
      <c r="C75">
        <v>0</v>
      </c>
    </row>
    <row r="76" spans="1:3">
      <c r="A76" t="s">
        <v>77</v>
      </c>
      <c r="B76">
        <v>0</v>
      </c>
      <c r="C76">
        <v>0</v>
      </c>
    </row>
    <row r="77" spans="1:3">
      <c r="A77" t="s">
        <v>78</v>
      </c>
      <c r="B77">
        <v>0</v>
      </c>
      <c r="C77">
        <v>0</v>
      </c>
    </row>
    <row r="78" spans="1:3">
      <c r="A78" t="s">
        <v>79</v>
      </c>
      <c r="B78">
        <v>0</v>
      </c>
      <c r="C78">
        <v>0</v>
      </c>
    </row>
    <row r="79" spans="1:3">
      <c r="A79" t="s">
        <v>80</v>
      </c>
      <c r="B79">
        <v>0</v>
      </c>
      <c r="C79">
        <v>0</v>
      </c>
    </row>
    <row r="80" spans="1:3">
      <c r="A80" t="s">
        <v>81</v>
      </c>
      <c r="B80">
        <v>0</v>
      </c>
      <c r="C80">
        <v>0</v>
      </c>
    </row>
    <row r="81" spans="1:3">
      <c r="A81" t="s">
        <v>82</v>
      </c>
      <c r="B81">
        <v>0</v>
      </c>
      <c r="C81">
        <v>0</v>
      </c>
    </row>
    <row r="82" spans="1:3">
      <c r="A82" t="s">
        <v>83</v>
      </c>
      <c r="B82">
        <v>0</v>
      </c>
      <c r="C82">
        <v>0</v>
      </c>
    </row>
    <row r="83" spans="1:3">
      <c r="A83" t="s">
        <v>84</v>
      </c>
      <c r="B83">
        <v>0</v>
      </c>
      <c r="C83">
        <v>0</v>
      </c>
    </row>
    <row r="84" spans="1:3">
      <c r="A84" t="s">
        <v>85</v>
      </c>
      <c r="B84">
        <v>0</v>
      </c>
      <c r="C84">
        <v>0</v>
      </c>
    </row>
    <row r="85" spans="1:3">
      <c r="A85" t="s">
        <v>86</v>
      </c>
      <c r="B85">
        <v>0</v>
      </c>
      <c r="C85">
        <v>0</v>
      </c>
    </row>
    <row r="86" spans="1:3">
      <c r="A86" t="s">
        <v>87</v>
      </c>
      <c r="B86">
        <v>0</v>
      </c>
      <c r="C86">
        <v>0</v>
      </c>
    </row>
    <row r="87" spans="1:3">
      <c r="A87" t="s">
        <v>88</v>
      </c>
      <c r="B87">
        <v>0</v>
      </c>
      <c r="C87">
        <v>0</v>
      </c>
    </row>
    <row r="88" spans="1:3">
      <c r="A88" t="s">
        <v>89</v>
      </c>
      <c r="B88">
        <v>0</v>
      </c>
      <c r="C88">
        <v>0</v>
      </c>
    </row>
    <row r="89" spans="1:3">
      <c r="A89" t="s">
        <v>90</v>
      </c>
      <c r="B89">
        <v>0</v>
      </c>
      <c r="C89">
        <v>0</v>
      </c>
    </row>
    <row r="90" spans="1:3">
      <c r="A90" t="s">
        <v>91</v>
      </c>
      <c r="B90">
        <v>0</v>
      </c>
      <c r="C90">
        <v>0</v>
      </c>
    </row>
    <row r="91" spans="1:3">
      <c r="A91" t="s">
        <v>92</v>
      </c>
      <c r="B91">
        <v>0</v>
      </c>
      <c r="C91">
        <v>0</v>
      </c>
    </row>
    <row r="92" spans="1:3">
      <c r="A92" t="s">
        <v>93</v>
      </c>
      <c r="B92">
        <v>0</v>
      </c>
      <c r="C92">
        <v>0</v>
      </c>
    </row>
    <row r="93" spans="1:3">
      <c r="A93" t="s">
        <v>94</v>
      </c>
      <c r="B93">
        <v>0</v>
      </c>
      <c r="C93">
        <v>0</v>
      </c>
    </row>
    <row r="94" spans="1:3">
      <c r="A94" t="s">
        <v>95</v>
      </c>
      <c r="B94">
        <v>0</v>
      </c>
      <c r="C94">
        <v>0</v>
      </c>
    </row>
    <row r="95" spans="1:3">
      <c r="A95" t="s">
        <v>96</v>
      </c>
      <c r="B95">
        <v>0</v>
      </c>
      <c r="C95">
        <v>0</v>
      </c>
    </row>
    <row r="96" spans="1:3">
      <c r="A96" t="s">
        <v>97</v>
      </c>
      <c r="B96">
        <v>0</v>
      </c>
      <c r="C96">
        <v>0</v>
      </c>
    </row>
    <row r="97" spans="1:3">
      <c r="A97" t="s">
        <v>98</v>
      </c>
      <c r="B97">
        <v>0</v>
      </c>
      <c r="C97">
        <v>0</v>
      </c>
    </row>
    <row r="98" spans="1:3">
      <c r="A98" t="s">
        <v>99</v>
      </c>
      <c r="B98">
        <v>0</v>
      </c>
      <c r="C98">
        <v>0</v>
      </c>
    </row>
    <row r="99" spans="1:3">
      <c r="A99" t="s">
        <v>100</v>
      </c>
      <c r="B99">
        <v>0</v>
      </c>
      <c r="C99">
        <v>0</v>
      </c>
    </row>
    <row r="100" spans="1:3">
      <c r="A100" t="s">
        <v>101</v>
      </c>
      <c r="B100">
        <v>0</v>
      </c>
      <c r="C100">
        <v>0</v>
      </c>
    </row>
    <row r="101" spans="1:3">
      <c r="A101" t="s">
        <v>102</v>
      </c>
      <c r="B101">
        <v>0</v>
      </c>
      <c r="C101">
        <v>0</v>
      </c>
    </row>
    <row r="102" spans="1:3">
      <c r="A102" t="s">
        <v>103</v>
      </c>
      <c r="B102">
        <v>0</v>
      </c>
      <c r="C102">
        <v>0</v>
      </c>
    </row>
    <row r="103" spans="1:3">
      <c r="A103" t="s">
        <v>104</v>
      </c>
      <c r="B103">
        <v>0</v>
      </c>
      <c r="C103">
        <v>0</v>
      </c>
    </row>
    <row r="104" spans="1:3">
      <c r="A104" t="s">
        <v>105</v>
      </c>
      <c r="B104">
        <v>0</v>
      </c>
      <c r="C104">
        <v>0</v>
      </c>
    </row>
    <row r="105" spans="1:3">
      <c r="A105" t="s">
        <v>106</v>
      </c>
      <c r="B105">
        <v>0</v>
      </c>
      <c r="C105">
        <v>0</v>
      </c>
    </row>
    <row r="106" spans="1:3">
      <c r="A106" t="s">
        <v>107</v>
      </c>
      <c r="B106">
        <v>1</v>
      </c>
      <c r="C106">
        <v>0</v>
      </c>
    </row>
    <row r="107" spans="1:3">
      <c r="A107" t="s">
        <v>108</v>
      </c>
      <c r="B107">
        <v>0</v>
      </c>
      <c r="C107">
        <v>0</v>
      </c>
    </row>
    <row r="108" spans="1:3">
      <c r="A108" t="s">
        <v>109</v>
      </c>
      <c r="B108">
        <v>0</v>
      </c>
      <c r="C108">
        <v>0</v>
      </c>
    </row>
    <row r="109" spans="1:3">
      <c r="A109" t="s">
        <v>110</v>
      </c>
      <c r="B109">
        <v>0</v>
      </c>
      <c r="C109">
        <v>0</v>
      </c>
    </row>
    <row r="110" spans="1:3">
      <c r="A110" t="s">
        <v>111</v>
      </c>
      <c r="B110">
        <v>0</v>
      </c>
      <c r="C110">
        <v>0</v>
      </c>
    </row>
    <row r="111" spans="1:3">
      <c r="A111" t="s">
        <v>112</v>
      </c>
      <c r="B111">
        <v>0</v>
      </c>
      <c r="C111">
        <v>0</v>
      </c>
    </row>
    <row r="112" spans="1:3">
      <c r="A112" t="s">
        <v>113</v>
      </c>
      <c r="B112">
        <v>0</v>
      </c>
      <c r="C112">
        <v>0</v>
      </c>
    </row>
    <row r="113" spans="1:3">
      <c r="A113" t="s">
        <v>114</v>
      </c>
      <c r="B113">
        <v>0</v>
      </c>
      <c r="C113">
        <v>0</v>
      </c>
    </row>
    <row r="114" spans="1:3">
      <c r="A114" t="s">
        <v>115</v>
      </c>
      <c r="B114">
        <v>0</v>
      </c>
      <c r="C114">
        <v>0</v>
      </c>
    </row>
    <row r="115" spans="1:3">
      <c r="A115" t="s">
        <v>116</v>
      </c>
      <c r="B115">
        <v>0</v>
      </c>
      <c r="C115">
        <v>0</v>
      </c>
    </row>
    <row r="116" spans="1:3">
      <c r="A116" t="s">
        <v>117</v>
      </c>
      <c r="B116">
        <v>0</v>
      </c>
      <c r="C116">
        <v>0</v>
      </c>
    </row>
    <row r="117" spans="1:3">
      <c r="A117" t="s">
        <v>118</v>
      </c>
      <c r="B117">
        <v>0</v>
      </c>
      <c r="C117">
        <v>0</v>
      </c>
    </row>
    <row r="118" spans="1:3">
      <c r="A118" t="s">
        <v>119</v>
      </c>
      <c r="B118">
        <v>0</v>
      </c>
      <c r="C118">
        <v>0</v>
      </c>
    </row>
    <row r="119" spans="1:3">
      <c r="A119" t="s">
        <v>120</v>
      </c>
      <c r="B119">
        <v>0</v>
      </c>
      <c r="C119">
        <v>0</v>
      </c>
    </row>
    <row r="120" spans="1:3">
      <c r="A120" t="s">
        <v>121</v>
      </c>
      <c r="B120">
        <v>0</v>
      </c>
      <c r="C120">
        <v>0</v>
      </c>
    </row>
    <row r="121" spans="1:3">
      <c r="A121" t="s">
        <v>122</v>
      </c>
      <c r="B121">
        <v>0</v>
      </c>
      <c r="C121">
        <v>0</v>
      </c>
    </row>
    <row r="122" spans="1:3">
      <c r="A122" t="s">
        <v>123</v>
      </c>
      <c r="B122">
        <v>1</v>
      </c>
      <c r="C122">
        <v>0</v>
      </c>
    </row>
    <row r="123" spans="1:3">
      <c r="A123" t="s">
        <v>124</v>
      </c>
      <c r="B123">
        <v>0</v>
      </c>
      <c r="C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pans="1:9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106</v>
      </c>
      <c r="B2">
        <v>13035</v>
      </c>
      <c r="C2">
        <v>26.07</v>
      </c>
      <c r="D2">
        <v>2</v>
      </c>
      <c r="E2">
        <v>2</v>
      </c>
      <c r="F2">
        <v>2</v>
      </c>
      <c r="G2">
        <v>2</v>
      </c>
      <c r="H2">
        <v>1</v>
      </c>
      <c r="I2">
        <v>3</v>
      </c>
    </row>
    <row r="3" spans="1:9">
      <c r="A3" t="s">
        <v>105</v>
      </c>
      <c r="B3">
        <v>12658</v>
      </c>
      <c r="C3">
        <v>25.32</v>
      </c>
      <c r="D3">
        <v>2</v>
      </c>
      <c r="E3">
        <v>2</v>
      </c>
      <c r="F3">
        <v>2</v>
      </c>
      <c r="G3">
        <v>2</v>
      </c>
      <c r="H3">
        <v>1</v>
      </c>
      <c r="I3">
        <v>3</v>
      </c>
    </row>
    <row r="4" spans="1:9">
      <c r="A4" t="s">
        <v>116</v>
      </c>
      <c r="B4">
        <v>11712</v>
      </c>
      <c r="C4">
        <v>23.42</v>
      </c>
      <c r="D4">
        <v>-2786</v>
      </c>
      <c r="E4">
        <v>-292</v>
      </c>
      <c r="F4">
        <v>-6527</v>
      </c>
      <c r="G4">
        <v>3449</v>
      </c>
      <c r="H4">
        <v>-10942.18</v>
      </c>
      <c r="I4">
        <v>365243</v>
      </c>
    </row>
    <row r="5" spans="1:9">
      <c r="A5" t="s">
        <v>97</v>
      </c>
      <c r="B5">
        <v>11608</v>
      </c>
      <c r="C5">
        <v>23.22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t="s">
        <v>111</v>
      </c>
      <c r="B6">
        <v>9963</v>
      </c>
      <c r="C6">
        <v>19.93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96</v>
      </c>
      <c r="B7">
        <v>8985</v>
      </c>
      <c r="C7">
        <v>17.97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 t="s">
        <v>112</v>
      </c>
      <c r="B8">
        <v>8926</v>
      </c>
      <c r="C8">
        <v>17.85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</row>
    <row r="9" spans="1:9">
      <c r="A9" t="s">
        <v>58</v>
      </c>
      <c r="B9">
        <v>8134</v>
      </c>
      <c r="C9">
        <v>16.27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</row>
    <row r="10" spans="1:9">
      <c r="A10" t="s">
        <v>57</v>
      </c>
      <c r="B10">
        <v>7140</v>
      </c>
      <c r="C10">
        <v>14.28</v>
      </c>
      <c r="D10">
        <v>0</v>
      </c>
      <c r="E10">
        <v>0</v>
      </c>
      <c r="F10">
        <v>0</v>
      </c>
      <c r="G10">
        <v>0</v>
      </c>
      <c r="H10">
        <v>0</v>
      </c>
      <c r="I10">
        <v>4</v>
      </c>
    </row>
    <row r="11" spans="1:9">
      <c r="A11" t="s">
        <v>61</v>
      </c>
      <c r="B11">
        <v>5642</v>
      </c>
      <c r="C11">
        <v>11.28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</row>
    <row r="12" spans="1:9">
      <c r="A12" t="s">
        <v>77</v>
      </c>
      <c r="B12">
        <v>4335</v>
      </c>
      <c r="C12">
        <v>8.67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t="s">
        <v>64</v>
      </c>
      <c r="B13">
        <v>4108</v>
      </c>
      <c r="C13">
        <v>8.220000000000001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</row>
    <row r="14" spans="1:9">
      <c r="A14" t="s">
        <v>68</v>
      </c>
      <c r="B14">
        <v>4038</v>
      </c>
      <c r="C14">
        <v>8.08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A15" t="s">
        <v>99</v>
      </c>
      <c r="B15">
        <v>3998</v>
      </c>
      <c r="C15">
        <v>8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t="s">
        <v>62</v>
      </c>
      <c r="B16">
        <v>3224</v>
      </c>
      <c r="C16">
        <v>6.45</v>
      </c>
      <c r="D16">
        <v>0</v>
      </c>
      <c r="E16">
        <v>2</v>
      </c>
      <c r="F16">
        <v>-3</v>
      </c>
      <c r="G16">
        <v>5</v>
      </c>
      <c r="H16">
        <v>0</v>
      </c>
      <c r="I16">
        <v>10</v>
      </c>
    </row>
    <row r="17" spans="1:9">
      <c r="A17" t="s">
        <v>63</v>
      </c>
      <c r="B17">
        <v>3166</v>
      </c>
      <c r="C17">
        <v>6.33</v>
      </c>
      <c r="D17">
        <v>0</v>
      </c>
      <c r="E17">
        <v>2</v>
      </c>
      <c r="F17">
        <v>-3</v>
      </c>
      <c r="G17">
        <v>5</v>
      </c>
      <c r="H17">
        <v>0</v>
      </c>
      <c r="I17">
        <v>10</v>
      </c>
    </row>
    <row r="18" spans="1:9">
      <c r="A18" t="s">
        <v>27</v>
      </c>
      <c r="B18">
        <v>3052</v>
      </c>
      <c r="C18">
        <v>6.1</v>
      </c>
      <c r="D18">
        <v>0</v>
      </c>
      <c r="E18">
        <v>0.0234</v>
      </c>
      <c r="F18">
        <v>-0.0351</v>
      </c>
      <c r="G18">
        <v>0.0585</v>
      </c>
      <c r="H18">
        <v>0</v>
      </c>
      <c r="I18">
        <v>0.3221</v>
      </c>
    </row>
    <row r="19" spans="1:9">
      <c r="A19" t="s">
        <v>108</v>
      </c>
      <c r="B19">
        <v>2783</v>
      </c>
      <c r="C19">
        <v>5.57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 t="s">
        <v>29</v>
      </c>
      <c r="B20">
        <v>2774</v>
      </c>
      <c r="C20">
        <v>5.55</v>
      </c>
      <c r="D20">
        <v>0</v>
      </c>
      <c r="E20">
        <v>0.0268</v>
      </c>
      <c r="F20">
        <v>-0.0402</v>
      </c>
      <c r="G20">
        <v>0.067</v>
      </c>
      <c r="H20">
        <v>0</v>
      </c>
      <c r="I20">
        <v>0.3185140000000017</v>
      </c>
    </row>
    <row r="21" spans="1:9">
      <c r="A21" t="s">
        <v>28</v>
      </c>
      <c r="B21">
        <v>2684</v>
      </c>
      <c r="C21">
        <v>5.37</v>
      </c>
      <c r="D21">
        <v>0</v>
      </c>
      <c r="E21">
        <v>0.0276</v>
      </c>
      <c r="F21">
        <v>-0.0414</v>
      </c>
      <c r="G21">
        <v>0.06900000000000001</v>
      </c>
      <c r="H21">
        <v>0</v>
      </c>
      <c r="I21">
        <v>0.3111220000000005</v>
      </c>
    </row>
    <row r="22" spans="1:9">
      <c r="A22" t="s">
        <v>101</v>
      </c>
      <c r="B22">
        <v>2496</v>
      </c>
      <c r="C22">
        <v>4.99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>
      <c r="A23" t="s">
        <v>7</v>
      </c>
      <c r="B23">
        <v>2476</v>
      </c>
      <c r="C23">
        <v>4.95</v>
      </c>
      <c r="D23">
        <v>0</v>
      </c>
      <c r="E23">
        <v>0.0039</v>
      </c>
      <c r="F23">
        <v>-0.005849999999999999</v>
      </c>
      <c r="G23">
        <v>0.009749999999999998</v>
      </c>
      <c r="H23">
        <v>0</v>
      </c>
      <c r="I23">
        <v>0.1197</v>
      </c>
    </row>
    <row r="24" spans="1:9">
      <c r="A24" t="s">
        <v>8</v>
      </c>
      <c r="B24">
        <v>2435</v>
      </c>
      <c r="C24">
        <v>4.87</v>
      </c>
      <c r="D24">
        <v>0</v>
      </c>
      <c r="E24">
        <v>0.0039</v>
      </c>
      <c r="F24">
        <v>-0.005849999999999999</v>
      </c>
      <c r="G24">
        <v>0.009749999999999998</v>
      </c>
      <c r="H24">
        <v>0</v>
      </c>
      <c r="I24">
        <v>0.1203</v>
      </c>
    </row>
    <row r="25" spans="1:9">
      <c r="A25" t="s">
        <v>66</v>
      </c>
      <c r="B25">
        <v>2387</v>
      </c>
      <c r="C25">
        <v>4.77</v>
      </c>
      <c r="D25">
        <v>238500</v>
      </c>
      <c r="E25">
        <v>679500</v>
      </c>
      <c r="F25">
        <v>-423000</v>
      </c>
      <c r="G25">
        <v>1341000</v>
      </c>
      <c r="H25">
        <v>67500</v>
      </c>
      <c r="I25">
        <v>1800000</v>
      </c>
    </row>
    <row r="26" spans="1:9">
      <c r="A26" t="s">
        <v>94</v>
      </c>
      <c r="B26">
        <v>2295</v>
      </c>
      <c r="C26">
        <v>4.59</v>
      </c>
      <c r="D26">
        <v>112500</v>
      </c>
      <c r="E26">
        <v>202500</v>
      </c>
      <c r="F26">
        <v>-22500</v>
      </c>
      <c r="G26">
        <v>337500</v>
      </c>
      <c r="H26">
        <v>45000</v>
      </c>
      <c r="I26">
        <v>477044.9999999928</v>
      </c>
    </row>
    <row r="27" spans="1:9">
      <c r="A27" t="s">
        <v>6</v>
      </c>
      <c r="B27">
        <v>2281</v>
      </c>
      <c r="C27">
        <v>4.56</v>
      </c>
      <c r="D27">
        <v>0</v>
      </c>
      <c r="E27">
        <v>0.0039</v>
      </c>
      <c r="F27">
        <v>-0.005849999999999999</v>
      </c>
      <c r="G27">
        <v>0.009749999999999998</v>
      </c>
      <c r="H27">
        <v>0</v>
      </c>
      <c r="I27">
        <v>0.1089</v>
      </c>
    </row>
    <row r="28" spans="1:9">
      <c r="A28" t="s">
        <v>41</v>
      </c>
      <c r="B28">
        <v>2160</v>
      </c>
      <c r="C28">
        <v>4.32</v>
      </c>
      <c r="D28">
        <v>0.0436</v>
      </c>
      <c r="E28">
        <v>0.1246</v>
      </c>
      <c r="F28">
        <v>-0.0779</v>
      </c>
      <c r="G28">
        <v>0.2461</v>
      </c>
      <c r="H28">
        <v>0.002</v>
      </c>
      <c r="I28">
        <v>0.5638069999999993</v>
      </c>
    </row>
    <row r="29" spans="1:9">
      <c r="A29" t="s">
        <v>42</v>
      </c>
      <c r="B29">
        <v>2118</v>
      </c>
      <c r="C29">
        <v>4.24</v>
      </c>
      <c r="D29">
        <v>0.0465</v>
      </c>
      <c r="E29">
        <v>0.13</v>
      </c>
      <c r="F29">
        <v>-0.07875</v>
      </c>
      <c r="G29">
        <v>0.25525</v>
      </c>
      <c r="H29">
        <v>0.0022</v>
      </c>
      <c r="I29">
        <v>0.5608</v>
      </c>
    </row>
    <row r="30" spans="1:9">
      <c r="A30" t="s">
        <v>40</v>
      </c>
      <c r="B30">
        <v>2050</v>
      </c>
      <c r="C30">
        <v>4.1</v>
      </c>
      <c r="D30">
        <v>0.0459</v>
      </c>
      <c r="E30">
        <v>0.1299</v>
      </c>
      <c r="F30">
        <v>-0.0801</v>
      </c>
      <c r="G30">
        <v>0.2559</v>
      </c>
      <c r="H30">
        <v>0.0022</v>
      </c>
      <c r="I30">
        <v>0.5537</v>
      </c>
    </row>
    <row r="31" spans="1:9">
      <c r="A31" t="s">
        <v>50</v>
      </c>
      <c r="B31">
        <v>2023</v>
      </c>
      <c r="C31">
        <v>4.05</v>
      </c>
      <c r="D31">
        <v>0.0415</v>
      </c>
      <c r="E31">
        <v>0.12705</v>
      </c>
      <c r="F31">
        <v>-0.08682499999999996</v>
      </c>
      <c r="G31">
        <v>0.255375</v>
      </c>
      <c r="H31">
        <v>0.0016</v>
      </c>
      <c r="I31">
        <v>0.5268</v>
      </c>
    </row>
    <row r="32" spans="1:9">
      <c r="A32" t="s">
        <v>100</v>
      </c>
      <c r="B32">
        <v>1982</v>
      </c>
      <c r="C32">
        <v>3.96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>
      <c r="A33" t="s">
        <v>34</v>
      </c>
      <c r="B33">
        <v>1778</v>
      </c>
      <c r="C33">
        <v>3.56</v>
      </c>
      <c r="D33">
        <v>0.0583</v>
      </c>
      <c r="E33">
        <v>0.1489</v>
      </c>
      <c r="F33">
        <v>-0.07760000000000003</v>
      </c>
      <c r="G33">
        <v>0.2848000000000001</v>
      </c>
      <c r="H33">
        <v>0.0021</v>
      </c>
      <c r="I33">
        <v>0.5411569999999989</v>
      </c>
    </row>
    <row r="34" spans="1:9">
      <c r="A34" t="s">
        <v>35</v>
      </c>
      <c r="B34">
        <v>1756</v>
      </c>
      <c r="C34">
        <v>3.51</v>
      </c>
      <c r="D34">
        <v>0.0577</v>
      </c>
      <c r="E34">
        <v>0.1485</v>
      </c>
      <c r="F34">
        <v>-0.07849999999999999</v>
      </c>
      <c r="G34">
        <v>0.2847</v>
      </c>
      <c r="H34">
        <v>0.0021</v>
      </c>
      <c r="I34">
        <v>0.5361</v>
      </c>
    </row>
    <row r="35" spans="1:9">
      <c r="A35" t="s">
        <v>31</v>
      </c>
      <c r="B35">
        <v>1746</v>
      </c>
      <c r="C35">
        <v>3.49</v>
      </c>
      <c r="D35">
        <v>0</v>
      </c>
      <c r="E35">
        <v>0.12</v>
      </c>
      <c r="F35">
        <v>-0.18</v>
      </c>
      <c r="G35">
        <v>0.3</v>
      </c>
      <c r="H35">
        <v>0</v>
      </c>
      <c r="I35">
        <v>0.6</v>
      </c>
    </row>
    <row r="36" spans="1:9">
      <c r="A36" t="s">
        <v>30</v>
      </c>
      <c r="B36">
        <v>1743</v>
      </c>
      <c r="C36">
        <v>3.49</v>
      </c>
      <c r="D36">
        <v>0</v>
      </c>
      <c r="E36">
        <v>0.12</v>
      </c>
      <c r="F36">
        <v>-0.18</v>
      </c>
      <c r="G36">
        <v>0.3</v>
      </c>
      <c r="H36">
        <v>0</v>
      </c>
      <c r="I36">
        <v>0.6</v>
      </c>
    </row>
    <row r="37" spans="1:9">
      <c r="A37" t="s">
        <v>36</v>
      </c>
      <c r="B37">
        <v>1731</v>
      </c>
      <c r="C37">
        <v>3.46</v>
      </c>
      <c r="D37">
        <v>0.0525</v>
      </c>
      <c r="E37">
        <v>0.1429</v>
      </c>
      <c r="F37">
        <v>-0.08310000000000001</v>
      </c>
      <c r="G37">
        <v>0.2785</v>
      </c>
      <c r="H37">
        <v>0.0021</v>
      </c>
      <c r="I37">
        <v>0.5324569999999988</v>
      </c>
    </row>
    <row r="38" spans="1:9">
      <c r="A38" t="s">
        <v>32</v>
      </c>
      <c r="B38">
        <v>1635</v>
      </c>
      <c r="C38">
        <v>3.27</v>
      </c>
      <c r="D38">
        <v>0</v>
      </c>
      <c r="E38">
        <v>0.1208</v>
      </c>
      <c r="F38">
        <v>-0.1812</v>
      </c>
      <c r="G38">
        <v>0.302</v>
      </c>
      <c r="H38">
        <v>0</v>
      </c>
      <c r="I38">
        <v>0.6042</v>
      </c>
    </row>
    <row r="39" spans="1:9">
      <c r="A39" t="s">
        <v>3</v>
      </c>
      <c r="B39">
        <v>1341</v>
      </c>
      <c r="C39">
        <v>2.68</v>
      </c>
      <c r="D39">
        <v>0.0077</v>
      </c>
      <c r="E39">
        <v>0.05025</v>
      </c>
      <c r="F39">
        <v>-0.05612500000000001</v>
      </c>
      <c r="G39">
        <v>0.114075</v>
      </c>
      <c r="H39">
        <v>0</v>
      </c>
      <c r="I39">
        <v>0.3833439999999987</v>
      </c>
    </row>
    <row r="40" spans="1:9">
      <c r="A40" t="s">
        <v>118</v>
      </c>
      <c r="B40">
        <v>1329</v>
      </c>
      <c r="C40">
        <v>2.66</v>
      </c>
      <c r="D40">
        <v>0.010006</v>
      </c>
      <c r="E40">
        <v>0.028663</v>
      </c>
      <c r="F40">
        <v>-0.0179795</v>
      </c>
      <c r="G40">
        <v>0.0566485</v>
      </c>
      <c r="H40">
        <v>0.002134</v>
      </c>
      <c r="I40">
        <v>0.072508</v>
      </c>
    </row>
    <row r="41" spans="1:9">
      <c r="A41" t="s">
        <v>4</v>
      </c>
      <c r="B41">
        <v>1325</v>
      </c>
      <c r="C41">
        <v>2.65</v>
      </c>
      <c r="D41">
        <v>0.0077</v>
      </c>
      <c r="E41">
        <v>0.0505</v>
      </c>
      <c r="F41">
        <v>-0.05650000000000001</v>
      </c>
      <c r="G41">
        <v>0.1147</v>
      </c>
      <c r="H41">
        <v>0</v>
      </c>
      <c r="I41">
        <v>0.382019999999999</v>
      </c>
    </row>
    <row r="42" spans="1:9">
      <c r="A42" t="s">
        <v>5</v>
      </c>
      <c r="B42">
        <v>1321</v>
      </c>
      <c r="C42">
        <v>2.64</v>
      </c>
      <c r="D42">
        <v>0.0071</v>
      </c>
      <c r="E42">
        <v>0.04795</v>
      </c>
      <c r="F42">
        <v>-0.05417499999999999</v>
      </c>
      <c r="G42">
        <v>0.109225</v>
      </c>
      <c r="H42">
        <v>0</v>
      </c>
      <c r="I42">
        <v>0.3799239999999998</v>
      </c>
    </row>
    <row r="43" spans="1:9">
      <c r="A43" t="s">
        <v>56</v>
      </c>
      <c r="B43">
        <v>1314</v>
      </c>
      <c r="C43">
        <v>2.63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>
      <c r="A44" t="s">
        <v>11</v>
      </c>
      <c r="B44">
        <v>1309</v>
      </c>
      <c r="C44">
        <v>2.62</v>
      </c>
      <c r="D44">
        <v>0.0513</v>
      </c>
      <c r="E44">
        <v>0.1231</v>
      </c>
      <c r="F44">
        <v>-0.05640000000000001</v>
      </c>
      <c r="G44">
        <v>0.2308</v>
      </c>
      <c r="H44">
        <v>0.0026</v>
      </c>
      <c r="I44">
        <v>0.4622040000000012</v>
      </c>
    </row>
    <row r="45" spans="1:9">
      <c r="A45" t="s">
        <v>10</v>
      </c>
      <c r="B45">
        <v>1288</v>
      </c>
      <c r="C45">
        <v>2.58</v>
      </c>
      <c r="D45">
        <v>0.0504</v>
      </c>
      <c r="E45">
        <v>0.121</v>
      </c>
      <c r="F45">
        <v>-0.05549999999999999</v>
      </c>
      <c r="G45">
        <v>0.2269</v>
      </c>
      <c r="H45">
        <v>0.003147999999999999</v>
      </c>
      <c r="I45">
        <v>0.4543760000000011</v>
      </c>
    </row>
    <row r="46" spans="1:9">
      <c r="A46" t="s">
        <v>9</v>
      </c>
      <c r="B46">
        <v>1252</v>
      </c>
      <c r="C46">
        <v>2.5</v>
      </c>
      <c r="D46">
        <v>0.0533</v>
      </c>
      <c r="E46">
        <v>0.1304</v>
      </c>
      <c r="F46">
        <v>-0.06234999999999997</v>
      </c>
      <c r="G46">
        <v>0.24605</v>
      </c>
      <c r="H46">
        <v>0.0018</v>
      </c>
      <c r="I46">
        <v>0.4927040000000012</v>
      </c>
    </row>
    <row r="47" spans="1:9">
      <c r="A47" t="s">
        <v>23</v>
      </c>
      <c r="B47">
        <v>1202</v>
      </c>
      <c r="C47">
        <v>2.4</v>
      </c>
      <c r="D47">
        <v>0.0438</v>
      </c>
      <c r="E47">
        <v>0.1123</v>
      </c>
      <c r="F47">
        <v>-0.05895000000000001</v>
      </c>
      <c r="G47">
        <v>0.21505</v>
      </c>
      <c r="H47">
        <v>0</v>
      </c>
      <c r="I47">
        <v>0.388</v>
      </c>
    </row>
    <row r="48" spans="1:9">
      <c r="A48" t="s">
        <v>24</v>
      </c>
      <c r="B48">
        <v>1194</v>
      </c>
      <c r="C48">
        <v>2.39</v>
      </c>
      <c r="D48">
        <v>0.0442</v>
      </c>
      <c r="E48">
        <v>0.1127</v>
      </c>
      <c r="F48">
        <v>-0.05854999999999998</v>
      </c>
      <c r="G48">
        <v>0.21545</v>
      </c>
      <c r="H48">
        <v>0</v>
      </c>
      <c r="I48">
        <v>0.3882059999999991</v>
      </c>
    </row>
    <row r="49" spans="1:9">
      <c r="A49" t="s">
        <v>123</v>
      </c>
      <c r="B49">
        <v>1188</v>
      </c>
      <c r="C49">
        <v>2.38</v>
      </c>
      <c r="D49">
        <v>16456.5</v>
      </c>
      <c r="E49">
        <v>34596</v>
      </c>
      <c r="F49">
        <v>-10752.75</v>
      </c>
      <c r="G49">
        <v>61805.25</v>
      </c>
      <c r="H49">
        <v>6174</v>
      </c>
      <c r="I49">
        <v>70007.30999999997</v>
      </c>
    </row>
    <row r="50" spans="1:9">
      <c r="A50" t="s">
        <v>25</v>
      </c>
      <c r="B50">
        <v>1152</v>
      </c>
      <c r="C50">
        <v>2.3</v>
      </c>
      <c r="D50">
        <v>0.0408</v>
      </c>
      <c r="E50">
        <v>0.1132</v>
      </c>
      <c r="F50">
        <v>-0.06779999999999999</v>
      </c>
      <c r="G50">
        <v>0.2218</v>
      </c>
      <c r="H50">
        <v>0</v>
      </c>
      <c r="I50">
        <v>0.3998009999999999</v>
      </c>
    </row>
    <row r="51" spans="1:9">
      <c r="A51" t="s">
        <v>21</v>
      </c>
      <c r="B51">
        <v>1108</v>
      </c>
      <c r="C51">
        <v>2.22</v>
      </c>
      <c r="D51">
        <v>0.0169</v>
      </c>
      <c r="E51">
        <v>0.084675</v>
      </c>
      <c r="F51">
        <v>-0.0847625</v>
      </c>
      <c r="G51">
        <v>0.1863375</v>
      </c>
      <c r="H51">
        <v>0</v>
      </c>
      <c r="I51">
        <v>0.3795979999999989</v>
      </c>
    </row>
    <row r="52" spans="1:9">
      <c r="A52" t="s">
        <v>20</v>
      </c>
      <c r="B52">
        <v>1088</v>
      </c>
      <c r="C52">
        <v>2.18</v>
      </c>
      <c r="D52">
        <v>0.019225</v>
      </c>
      <c r="E52">
        <v>0.08737500000000001</v>
      </c>
      <c r="F52">
        <v>-0.08300000000000002</v>
      </c>
      <c r="G52">
        <v>0.1896</v>
      </c>
      <c r="H52">
        <v>0</v>
      </c>
      <c r="I52">
        <v>0.387</v>
      </c>
    </row>
    <row r="53" spans="1:9">
      <c r="A53" t="s">
        <v>22</v>
      </c>
      <c r="B53">
        <v>1091</v>
      </c>
      <c r="C53">
        <v>2.18</v>
      </c>
      <c r="D53">
        <v>0.0191</v>
      </c>
      <c r="E53">
        <v>0.0862</v>
      </c>
      <c r="F53">
        <v>-0.08154999999999998</v>
      </c>
      <c r="G53">
        <v>0.18685</v>
      </c>
      <c r="H53">
        <v>0</v>
      </c>
      <c r="I53">
        <v>0.380446</v>
      </c>
    </row>
    <row r="54" spans="1:9">
      <c r="A54" t="s">
        <v>93</v>
      </c>
      <c r="B54">
        <v>1063</v>
      </c>
      <c r="C54">
        <v>2.13</v>
      </c>
      <c r="D54">
        <v>270000</v>
      </c>
      <c r="E54">
        <v>808650</v>
      </c>
      <c r="F54">
        <v>-537975</v>
      </c>
      <c r="G54">
        <v>1616625</v>
      </c>
      <c r="H54">
        <v>76410</v>
      </c>
      <c r="I54">
        <v>1847703.599999999</v>
      </c>
    </row>
    <row r="55" spans="1:9">
      <c r="A55" t="s">
        <v>45</v>
      </c>
      <c r="B55">
        <v>883</v>
      </c>
      <c r="C55">
        <v>1.77</v>
      </c>
      <c r="D55">
        <v>0.1667</v>
      </c>
      <c r="E55">
        <v>0.3333</v>
      </c>
      <c r="F55">
        <v>-0.08320000000000002</v>
      </c>
      <c r="G55">
        <v>0.5831999999999999</v>
      </c>
      <c r="H55">
        <v>0</v>
      </c>
      <c r="I55">
        <v>0.6667</v>
      </c>
    </row>
    <row r="56" spans="1:9">
      <c r="A56" t="s">
        <v>46</v>
      </c>
      <c r="B56">
        <v>859</v>
      </c>
      <c r="C56">
        <v>1.72</v>
      </c>
      <c r="D56">
        <v>0.1667</v>
      </c>
      <c r="E56">
        <v>0.3333</v>
      </c>
      <c r="F56">
        <v>-0.08320000000000002</v>
      </c>
      <c r="G56">
        <v>0.5831999999999999</v>
      </c>
      <c r="H56">
        <v>0</v>
      </c>
      <c r="I56">
        <v>0.6667</v>
      </c>
    </row>
    <row r="57" spans="1:9">
      <c r="A57" t="s">
        <v>44</v>
      </c>
      <c r="B57">
        <v>843</v>
      </c>
      <c r="C57">
        <v>1.69</v>
      </c>
      <c r="D57">
        <v>0.1667</v>
      </c>
      <c r="E57">
        <v>0.3333</v>
      </c>
      <c r="F57">
        <v>-0.08320000000000002</v>
      </c>
      <c r="G57">
        <v>0.5831999999999999</v>
      </c>
      <c r="H57">
        <v>0</v>
      </c>
      <c r="I57">
        <v>0.6667</v>
      </c>
    </row>
    <row r="58" spans="1:9">
      <c r="A58" t="s">
        <v>49</v>
      </c>
      <c r="B58">
        <v>789</v>
      </c>
      <c r="C58">
        <v>1.58</v>
      </c>
      <c r="D58">
        <v>0.9767</v>
      </c>
      <c r="E58">
        <v>0.9866</v>
      </c>
      <c r="F58">
        <v>0.96185</v>
      </c>
      <c r="G58">
        <v>1.00145</v>
      </c>
      <c r="H58">
        <v>0.9508</v>
      </c>
      <c r="I58">
        <v>0.999</v>
      </c>
    </row>
    <row r="59" spans="1:9">
      <c r="A59" t="s">
        <v>19</v>
      </c>
      <c r="B59">
        <v>786</v>
      </c>
      <c r="C59">
        <v>1.57</v>
      </c>
      <c r="D59">
        <v>5</v>
      </c>
      <c r="E59">
        <v>15</v>
      </c>
      <c r="F59">
        <v>-10</v>
      </c>
      <c r="G59">
        <v>30</v>
      </c>
      <c r="H59">
        <v>0</v>
      </c>
      <c r="I59">
        <v>64</v>
      </c>
    </row>
    <row r="60" spans="1:9">
      <c r="A60" t="s">
        <v>76</v>
      </c>
      <c r="B60">
        <v>785</v>
      </c>
      <c r="C60">
        <v>1.57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>
      <c r="A61" t="s">
        <v>48</v>
      </c>
      <c r="B61">
        <v>786</v>
      </c>
      <c r="C61">
        <v>1.57</v>
      </c>
      <c r="D61">
        <v>0.9767</v>
      </c>
      <c r="E61">
        <v>0.9866</v>
      </c>
      <c r="F61">
        <v>0.96185</v>
      </c>
      <c r="G61">
        <v>1.00145</v>
      </c>
      <c r="H61">
        <v>0.9508</v>
      </c>
      <c r="I61">
        <v>0.999</v>
      </c>
    </row>
    <row r="62" spans="1:9">
      <c r="A62" t="s">
        <v>102</v>
      </c>
      <c r="B62">
        <v>750</v>
      </c>
      <c r="C62">
        <v>1.5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</row>
    <row r="63" spans="1:9">
      <c r="A63" t="s">
        <v>67</v>
      </c>
      <c r="B63">
        <v>723</v>
      </c>
      <c r="C63">
        <v>1.45</v>
      </c>
      <c r="D63">
        <v>0</v>
      </c>
      <c r="E63">
        <v>1</v>
      </c>
      <c r="F63">
        <v>-1.5</v>
      </c>
      <c r="G63">
        <v>2.5</v>
      </c>
      <c r="H63">
        <v>0</v>
      </c>
      <c r="I63">
        <v>3</v>
      </c>
    </row>
    <row r="64" spans="1:9">
      <c r="A64" t="s">
        <v>47</v>
      </c>
      <c r="B64">
        <v>727</v>
      </c>
      <c r="C64">
        <v>1.45</v>
      </c>
      <c r="D64">
        <v>0.9762</v>
      </c>
      <c r="E64">
        <v>0.9866</v>
      </c>
      <c r="F64">
        <v>0.9605999999999999</v>
      </c>
      <c r="G64">
        <v>1.0022</v>
      </c>
      <c r="H64">
        <v>0.9499</v>
      </c>
      <c r="I64">
        <v>0.999</v>
      </c>
    </row>
    <row r="65" spans="1:9">
      <c r="A65" t="s">
        <v>107</v>
      </c>
      <c r="B65">
        <v>683</v>
      </c>
      <c r="C65">
        <v>1.37</v>
      </c>
      <c r="D65">
        <v>2</v>
      </c>
      <c r="E65">
        <v>3</v>
      </c>
      <c r="F65">
        <v>0.5</v>
      </c>
      <c r="G65">
        <v>4.5</v>
      </c>
      <c r="H65">
        <v>1</v>
      </c>
      <c r="I65">
        <v>5</v>
      </c>
    </row>
    <row r="66" spans="1:9">
      <c r="A66" t="s">
        <v>38</v>
      </c>
      <c r="B66">
        <v>652</v>
      </c>
      <c r="C66">
        <v>1.3</v>
      </c>
      <c r="D66">
        <v>0.06900000000000001</v>
      </c>
      <c r="E66">
        <v>0.2069</v>
      </c>
      <c r="F66">
        <v>-0.13785</v>
      </c>
      <c r="G66">
        <v>0.41375</v>
      </c>
      <c r="H66">
        <v>0.0345</v>
      </c>
      <c r="I66">
        <v>0.5172</v>
      </c>
    </row>
    <row r="67" spans="1:9">
      <c r="A67" t="s">
        <v>37</v>
      </c>
      <c r="B67">
        <v>652</v>
      </c>
      <c r="C67">
        <v>1.3</v>
      </c>
      <c r="D67">
        <v>0.06900000000000001</v>
      </c>
      <c r="E67">
        <v>0.2069</v>
      </c>
      <c r="F67">
        <v>-0.13785</v>
      </c>
      <c r="G67">
        <v>0.41375</v>
      </c>
      <c r="H67">
        <v>0.0345</v>
      </c>
      <c r="I67">
        <v>0.5172</v>
      </c>
    </row>
    <row r="68" spans="1:9">
      <c r="A68" t="s">
        <v>39</v>
      </c>
      <c r="B68">
        <v>638</v>
      </c>
      <c r="C68">
        <v>1.28</v>
      </c>
      <c r="D68">
        <v>0.06900000000000001</v>
      </c>
      <c r="E68">
        <v>0.2069</v>
      </c>
      <c r="F68">
        <v>-0.13785</v>
      </c>
      <c r="G68">
        <v>0.41375</v>
      </c>
      <c r="H68">
        <v>0.0345</v>
      </c>
      <c r="I68">
        <v>0.5172</v>
      </c>
    </row>
    <row r="69" spans="1:9">
      <c r="A69" t="s">
        <v>59</v>
      </c>
      <c r="B69">
        <v>552</v>
      </c>
      <c r="C69">
        <v>1.1</v>
      </c>
      <c r="D69">
        <v>0</v>
      </c>
      <c r="E69">
        <v>3</v>
      </c>
      <c r="F69">
        <v>-4.5</v>
      </c>
      <c r="G69">
        <v>7.5</v>
      </c>
      <c r="H69">
        <v>0</v>
      </c>
      <c r="I69">
        <v>8</v>
      </c>
    </row>
    <row r="70" spans="1:9">
      <c r="A70" t="s">
        <v>87</v>
      </c>
      <c r="B70">
        <v>501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>
      <c r="A71" t="s">
        <v>89</v>
      </c>
      <c r="B71">
        <v>425</v>
      </c>
      <c r="C71">
        <v>0.85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16</v>
      </c>
      <c r="B72">
        <v>384</v>
      </c>
      <c r="C72">
        <v>0.77</v>
      </c>
      <c r="D72">
        <v>0.6914</v>
      </c>
      <c r="E72">
        <v>0.8256</v>
      </c>
      <c r="F72">
        <v>0.4901</v>
      </c>
      <c r="G72">
        <v>1.0269</v>
      </c>
      <c r="H72">
        <v>0.380053</v>
      </c>
      <c r="I72">
        <v>0.9866</v>
      </c>
    </row>
    <row r="73" spans="1:9">
      <c r="A73" t="s">
        <v>18</v>
      </c>
      <c r="B73">
        <v>367</v>
      </c>
      <c r="C73">
        <v>0.73</v>
      </c>
      <c r="D73">
        <v>0.6872</v>
      </c>
      <c r="E73">
        <v>0.8232</v>
      </c>
      <c r="F73">
        <v>0.4832</v>
      </c>
      <c r="G73">
        <v>1.0272</v>
      </c>
      <c r="H73">
        <v>0.362024</v>
      </c>
      <c r="I73">
        <v>0.9864000000000001</v>
      </c>
    </row>
    <row r="74" spans="1:9">
      <c r="A74" t="s">
        <v>17</v>
      </c>
      <c r="B74">
        <v>361</v>
      </c>
      <c r="C74">
        <v>0.72</v>
      </c>
      <c r="D74">
        <v>0.6929</v>
      </c>
      <c r="E74">
        <v>0.8236</v>
      </c>
      <c r="F74">
        <v>0.4968499999999999</v>
      </c>
      <c r="G74">
        <v>1.01965</v>
      </c>
      <c r="H74">
        <v>0.3662</v>
      </c>
      <c r="I74">
        <v>0.9869</v>
      </c>
    </row>
    <row r="75" spans="1:9">
      <c r="A75" t="s">
        <v>103</v>
      </c>
      <c r="B75">
        <v>353</v>
      </c>
      <c r="C75">
        <v>0.71</v>
      </c>
      <c r="D75">
        <v>10</v>
      </c>
      <c r="E75">
        <v>14</v>
      </c>
      <c r="F75">
        <v>4</v>
      </c>
      <c r="G75">
        <v>20</v>
      </c>
      <c r="H75">
        <v>4</v>
      </c>
      <c r="I75">
        <v>19</v>
      </c>
    </row>
    <row r="76" spans="1:9">
      <c r="A76" t="s">
        <v>54</v>
      </c>
      <c r="B76">
        <v>295</v>
      </c>
      <c r="C76">
        <v>0.59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55</v>
      </c>
      <c r="B77">
        <v>272</v>
      </c>
      <c r="C77">
        <v>0.54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82</v>
      </c>
      <c r="B78">
        <v>213</v>
      </c>
      <c r="C78">
        <v>0.43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79</v>
      </c>
      <c r="B79">
        <v>184</v>
      </c>
      <c r="C79">
        <v>0.37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85</v>
      </c>
      <c r="B80">
        <v>158</v>
      </c>
      <c r="C80">
        <v>0.32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84</v>
      </c>
      <c r="B81">
        <v>161</v>
      </c>
      <c r="C81">
        <v>0.32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109</v>
      </c>
      <c r="B82">
        <v>101</v>
      </c>
      <c r="C82">
        <v>0.2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>
      <c r="A83" t="s">
        <v>115</v>
      </c>
      <c r="B83">
        <v>96</v>
      </c>
      <c r="C83">
        <v>0.19</v>
      </c>
      <c r="D83">
        <v>-7463.5</v>
      </c>
      <c r="E83">
        <v>-1998</v>
      </c>
      <c r="F83">
        <v>-15661.75</v>
      </c>
      <c r="G83">
        <v>6200.25</v>
      </c>
      <c r="H83">
        <v>-13919.06</v>
      </c>
      <c r="I83">
        <v>-51</v>
      </c>
    </row>
    <row r="84" spans="1:9">
      <c r="A84" t="s">
        <v>72</v>
      </c>
      <c r="B84">
        <v>63</v>
      </c>
      <c r="C84">
        <v>0.13</v>
      </c>
      <c r="D84">
        <v>-1573</v>
      </c>
      <c r="E84">
        <v>-270</v>
      </c>
      <c r="F84">
        <v>-3527.5</v>
      </c>
      <c r="G84">
        <v>1684.5</v>
      </c>
      <c r="H84">
        <v>-3158.06</v>
      </c>
      <c r="I84">
        <v>0</v>
      </c>
    </row>
    <row r="85" spans="1:9">
      <c r="A85" t="s">
        <v>15</v>
      </c>
      <c r="B85">
        <v>58</v>
      </c>
      <c r="C85">
        <v>0.12</v>
      </c>
      <c r="D85">
        <v>0.0833</v>
      </c>
      <c r="E85">
        <v>0.375</v>
      </c>
      <c r="F85">
        <v>-0.35425</v>
      </c>
      <c r="G85">
        <v>0.81255</v>
      </c>
      <c r="H85">
        <v>0</v>
      </c>
      <c r="I85">
        <v>0.7083</v>
      </c>
    </row>
    <row r="86" spans="1:9">
      <c r="A86" t="s">
        <v>14</v>
      </c>
      <c r="B86">
        <v>56</v>
      </c>
      <c r="C86">
        <v>0.11</v>
      </c>
      <c r="D86">
        <v>0.0833</v>
      </c>
      <c r="E86">
        <v>0.375</v>
      </c>
      <c r="F86">
        <v>-0.35425</v>
      </c>
      <c r="G86">
        <v>0.81255</v>
      </c>
      <c r="H86">
        <v>0</v>
      </c>
      <c r="I86">
        <v>0.7083</v>
      </c>
    </row>
    <row r="87" spans="1:9">
      <c r="A87" t="s">
        <v>13</v>
      </c>
      <c r="B87">
        <v>56</v>
      </c>
      <c r="C87">
        <v>0.11</v>
      </c>
      <c r="D87">
        <v>0.0833</v>
      </c>
      <c r="E87">
        <v>0.375</v>
      </c>
      <c r="F87">
        <v>-0.35425</v>
      </c>
      <c r="G87">
        <v>0.81255</v>
      </c>
      <c r="H87">
        <v>0</v>
      </c>
      <c r="I87">
        <v>0.7083</v>
      </c>
    </row>
    <row r="88" spans="1:9">
      <c r="A88" t="s">
        <v>86</v>
      </c>
      <c r="B88">
        <v>41</v>
      </c>
      <c r="C88">
        <v>0.08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90</v>
      </c>
      <c r="B89">
        <v>35</v>
      </c>
      <c r="C89">
        <v>0.07000000000000001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91</v>
      </c>
      <c r="B90">
        <v>26</v>
      </c>
      <c r="C90">
        <v>0.05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80</v>
      </c>
      <c r="B91">
        <v>19</v>
      </c>
      <c r="C91">
        <v>0.04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88</v>
      </c>
      <c r="B92">
        <v>15</v>
      </c>
      <c r="C92">
        <v>0.03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75</v>
      </c>
      <c r="B93">
        <v>9</v>
      </c>
      <c r="C93">
        <v>0.02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78</v>
      </c>
      <c r="B94">
        <v>11</v>
      </c>
      <c r="C94">
        <v>0.02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113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>
      <c r="A96" t="s">
        <v>65</v>
      </c>
      <c r="B96">
        <v>0</v>
      </c>
      <c r="C96">
        <v>0</v>
      </c>
      <c r="D96">
        <v>0.391722488</v>
      </c>
      <c r="E96">
        <v>0.66340227</v>
      </c>
      <c r="F96">
        <v>-0.01579718499999999</v>
      </c>
      <c r="G96">
        <v>1.070921943</v>
      </c>
      <c r="H96">
        <v>0.02908603824</v>
      </c>
      <c r="I96">
        <v>0.7819683549600001</v>
      </c>
    </row>
    <row r="97" spans="1:9">
      <c r="A97" t="s">
        <v>117</v>
      </c>
      <c r="B97">
        <v>0</v>
      </c>
      <c r="C97">
        <v>0</v>
      </c>
      <c r="D97">
        <v>-19644</v>
      </c>
      <c r="E97">
        <v>-12378.5</v>
      </c>
      <c r="F97">
        <v>-30542.25</v>
      </c>
      <c r="G97">
        <v>-1480.25</v>
      </c>
      <c r="H97">
        <v>-24426.02</v>
      </c>
      <c r="I97">
        <v>-8244</v>
      </c>
    </row>
    <row r="98" spans="1:9">
      <c r="A98" t="s">
        <v>114</v>
      </c>
      <c r="B98">
        <v>0</v>
      </c>
      <c r="C98">
        <v>0</v>
      </c>
      <c r="D98">
        <v>-4297</v>
      </c>
      <c r="E98">
        <v>-1722</v>
      </c>
      <c r="F98">
        <v>-8159.5</v>
      </c>
      <c r="G98">
        <v>2140.5</v>
      </c>
      <c r="H98">
        <v>-5457.02</v>
      </c>
      <c r="I98">
        <v>-64</v>
      </c>
    </row>
    <row r="99" spans="1:9">
      <c r="A99" t="s">
        <v>53</v>
      </c>
      <c r="B99">
        <v>0</v>
      </c>
      <c r="C99">
        <v>0</v>
      </c>
      <c r="D99">
        <v>0.370649632</v>
      </c>
      <c r="E99">
        <v>0.669056695</v>
      </c>
      <c r="F99">
        <v>-0.07696096249999995</v>
      </c>
      <c r="G99">
        <v>1.1166672895</v>
      </c>
      <c r="H99">
        <v>0.06804082222000001</v>
      </c>
      <c r="I99">
        <v>0.8342456925999991</v>
      </c>
    </row>
    <row r="100" spans="1:9">
      <c r="A100" t="s">
        <v>26</v>
      </c>
      <c r="B100">
        <v>0</v>
      </c>
      <c r="C100">
        <v>0</v>
      </c>
      <c r="D100">
        <v>0.333475611</v>
      </c>
      <c r="E100">
        <v>0.6739230825</v>
      </c>
      <c r="F100">
        <v>-0.1771955962499999</v>
      </c>
      <c r="G100">
        <v>1.18459428975</v>
      </c>
      <c r="H100">
        <v>0.08535215482</v>
      </c>
      <c r="I100">
        <v>0.8876825961400003</v>
      </c>
    </row>
    <row r="101" spans="1:9">
      <c r="A101" t="s">
        <v>73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74</v>
      </c>
      <c r="B102">
        <v>0</v>
      </c>
      <c r="C102">
        <v>0</v>
      </c>
      <c r="D102">
        <v>0</v>
      </c>
      <c r="E102">
        <v>1</v>
      </c>
      <c r="F102">
        <v>-1.5</v>
      </c>
      <c r="G102">
        <v>2.5</v>
      </c>
      <c r="H102">
        <v>0</v>
      </c>
      <c r="I102">
        <v>1</v>
      </c>
    </row>
    <row r="103" spans="1:9">
      <c r="A103" t="s">
        <v>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95</v>
      </c>
      <c r="B104">
        <v>0</v>
      </c>
      <c r="C104">
        <v>0</v>
      </c>
      <c r="D104">
        <v>0</v>
      </c>
      <c r="E104">
        <v>1</v>
      </c>
      <c r="F104">
        <v>-1.5</v>
      </c>
      <c r="G104">
        <v>2.5</v>
      </c>
      <c r="H104">
        <v>0</v>
      </c>
      <c r="I104">
        <v>1</v>
      </c>
    </row>
    <row r="105" spans="1:9">
      <c r="A105" t="s">
        <v>81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98</v>
      </c>
      <c r="B1" s="1" t="s">
        <v>133</v>
      </c>
      <c r="C1" s="1" t="s">
        <v>134</v>
      </c>
    </row>
    <row r="2" spans="1:3">
      <c r="A2">
        <v>0</v>
      </c>
      <c r="B2">
        <v>45973</v>
      </c>
      <c r="C2">
        <v>91.95</v>
      </c>
    </row>
    <row r="3" spans="1:3">
      <c r="A3">
        <v>1</v>
      </c>
      <c r="B3">
        <v>4026</v>
      </c>
      <c r="C3">
        <v>8.050000000000001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FormatPr defaultRowHeight="15"/>
  <sheetData>
    <row r="1" spans="1:14">
      <c r="B1" s="1" t="s">
        <v>133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 s="1" t="s">
        <v>124</v>
      </c>
      <c r="B2">
        <v>49999</v>
      </c>
      <c r="C2">
        <v>129013.2105842117</v>
      </c>
      <c r="D2">
        <v>16690.51204759793</v>
      </c>
      <c r="E2">
        <v>100002</v>
      </c>
      <c r="F2">
        <v>100576.98</v>
      </c>
      <c r="G2">
        <v>102915.9</v>
      </c>
      <c r="H2">
        <v>114570.5</v>
      </c>
      <c r="I2">
        <v>129076</v>
      </c>
      <c r="J2">
        <v>143438.5</v>
      </c>
      <c r="K2">
        <v>155010.1</v>
      </c>
      <c r="L2">
        <v>157302.02</v>
      </c>
      <c r="M2">
        <v>157875</v>
      </c>
      <c r="N2">
        <v>0</v>
      </c>
    </row>
    <row r="3" spans="1:14">
      <c r="A3" s="1" t="s">
        <v>98</v>
      </c>
      <c r="B3">
        <v>49999</v>
      </c>
      <c r="C3">
        <v>0.08052161043220864</v>
      </c>
      <c r="D3">
        <v>0.2721017484369747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</row>
    <row r="4" spans="1:14">
      <c r="A4" s="1" t="s">
        <v>67</v>
      </c>
      <c r="B4">
        <v>49999</v>
      </c>
      <c r="C4">
        <v>0.4169683393667873</v>
      </c>
      <c r="D4">
        <v>0.7089717814251133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3</v>
      </c>
      <c r="M4">
        <v>3</v>
      </c>
      <c r="N4">
        <v>0</v>
      </c>
    </row>
    <row r="5" spans="1:14">
      <c r="A5" s="1" t="s">
        <v>94</v>
      </c>
      <c r="B5">
        <v>49999</v>
      </c>
      <c r="C5">
        <v>166228.6143754875</v>
      </c>
      <c r="D5">
        <v>83448.39873878798</v>
      </c>
      <c r="E5">
        <v>45000</v>
      </c>
      <c r="F5">
        <v>45000</v>
      </c>
      <c r="G5">
        <v>67500</v>
      </c>
      <c r="H5">
        <v>112500</v>
      </c>
      <c r="I5">
        <v>145800</v>
      </c>
      <c r="J5">
        <v>202500</v>
      </c>
      <c r="K5">
        <v>337500</v>
      </c>
      <c r="L5">
        <v>477000.8999999997</v>
      </c>
      <c r="M5">
        <v>477044.9999999928</v>
      </c>
      <c r="N5">
        <v>0</v>
      </c>
    </row>
    <row r="6" spans="1:14">
      <c r="A6" s="1" t="s">
        <v>93</v>
      </c>
      <c r="B6">
        <v>49999</v>
      </c>
      <c r="C6">
        <v>596989.1660633213</v>
      </c>
      <c r="D6">
        <v>391280.8463466093</v>
      </c>
      <c r="E6">
        <v>76410</v>
      </c>
      <c r="F6">
        <v>76410</v>
      </c>
      <c r="G6">
        <v>135000</v>
      </c>
      <c r="H6">
        <v>270000</v>
      </c>
      <c r="I6">
        <v>514777.5</v>
      </c>
      <c r="J6">
        <v>808650</v>
      </c>
      <c r="K6">
        <v>1350000</v>
      </c>
      <c r="L6">
        <v>1847700.072</v>
      </c>
      <c r="M6">
        <v>1847703.599999999</v>
      </c>
      <c r="N6">
        <v>0</v>
      </c>
    </row>
    <row r="7" spans="1:14">
      <c r="A7" s="1" t="s">
        <v>123</v>
      </c>
      <c r="B7">
        <v>49999</v>
      </c>
      <c r="C7">
        <v>26933.46139922798</v>
      </c>
      <c r="D7">
        <v>13646.35858570692</v>
      </c>
      <c r="E7">
        <v>6174</v>
      </c>
      <c r="F7">
        <v>6174</v>
      </c>
      <c r="G7">
        <v>9000</v>
      </c>
      <c r="H7">
        <v>16456.5</v>
      </c>
      <c r="I7">
        <v>24939</v>
      </c>
      <c r="J7">
        <v>34596</v>
      </c>
      <c r="K7">
        <v>53248.5</v>
      </c>
      <c r="L7">
        <v>70006.5162</v>
      </c>
      <c r="M7">
        <v>70007.30999999997</v>
      </c>
      <c r="N7">
        <v>0</v>
      </c>
    </row>
    <row r="8" spans="1:14">
      <c r="A8" s="1" t="s">
        <v>66</v>
      </c>
      <c r="B8">
        <v>49999</v>
      </c>
      <c r="C8">
        <v>537331.455899118</v>
      </c>
      <c r="D8">
        <v>361996.3928415853</v>
      </c>
      <c r="E8">
        <v>67500</v>
      </c>
      <c r="F8">
        <v>67500</v>
      </c>
      <c r="G8">
        <v>135000</v>
      </c>
      <c r="H8">
        <v>238500</v>
      </c>
      <c r="I8">
        <v>450000</v>
      </c>
      <c r="J8">
        <v>679500</v>
      </c>
      <c r="K8">
        <v>1305000</v>
      </c>
      <c r="L8">
        <v>1800000</v>
      </c>
      <c r="M8">
        <v>1800000</v>
      </c>
      <c r="N8">
        <v>0</v>
      </c>
    </row>
    <row r="9" spans="1:14">
      <c r="A9" s="1" t="s">
        <v>118</v>
      </c>
      <c r="B9">
        <v>49999</v>
      </c>
      <c r="C9">
        <v>0.02080247160943219</v>
      </c>
      <c r="D9">
        <v>0.0137547796991392</v>
      </c>
      <c r="E9">
        <v>0.002134</v>
      </c>
      <c r="F9">
        <v>0.002134</v>
      </c>
      <c r="G9">
        <v>0.00496</v>
      </c>
      <c r="H9">
        <v>0.010006</v>
      </c>
      <c r="I9">
        <v>0.01885</v>
      </c>
      <c r="J9">
        <v>0.028663</v>
      </c>
      <c r="K9">
        <v>0.04622</v>
      </c>
      <c r="L9">
        <v>0.072508</v>
      </c>
      <c r="M9">
        <v>0.072508</v>
      </c>
      <c r="N9">
        <v>0</v>
      </c>
    </row>
    <row r="10" spans="1:14">
      <c r="A10" s="1" t="s">
        <v>117</v>
      </c>
      <c r="B10">
        <v>49999</v>
      </c>
      <c r="C10">
        <v>-16021.35366707334</v>
      </c>
      <c r="D10">
        <v>4351.393456485707</v>
      </c>
      <c r="E10">
        <v>-24426.02</v>
      </c>
      <c r="F10">
        <v>-24426.0004</v>
      </c>
      <c r="G10">
        <v>-23197</v>
      </c>
      <c r="H10">
        <v>-19644</v>
      </c>
      <c r="I10">
        <v>-15731</v>
      </c>
      <c r="J10">
        <v>-12378.5</v>
      </c>
      <c r="K10">
        <v>-9381.900000000001</v>
      </c>
      <c r="L10">
        <v>-8244</v>
      </c>
      <c r="M10">
        <v>-8244</v>
      </c>
      <c r="N10">
        <v>0</v>
      </c>
    </row>
    <row r="11" spans="1:14">
      <c r="A11" s="1" t="s">
        <v>116</v>
      </c>
      <c r="B11">
        <v>49999</v>
      </c>
      <c r="C11">
        <v>63235.44822896458</v>
      </c>
      <c r="D11">
        <v>140786.0190973661</v>
      </c>
      <c r="E11">
        <v>-10942.18</v>
      </c>
      <c r="F11">
        <v>-10942.0036</v>
      </c>
      <c r="G11">
        <v>-6824.2</v>
      </c>
      <c r="H11">
        <v>-2786</v>
      </c>
      <c r="I11">
        <v>-1221</v>
      </c>
      <c r="J11">
        <v>-292</v>
      </c>
      <c r="K11">
        <v>365243</v>
      </c>
      <c r="L11">
        <v>365243</v>
      </c>
      <c r="M11">
        <v>365243</v>
      </c>
      <c r="N11">
        <v>0</v>
      </c>
    </row>
    <row r="12" spans="1:14">
      <c r="A12" s="1" t="s">
        <v>115</v>
      </c>
      <c r="B12">
        <v>49999</v>
      </c>
      <c r="C12">
        <v>-4965.821116422328</v>
      </c>
      <c r="D12">
        <v>3490.893766777921</v>
      </c>
      <c r="E12">
        <v>-13919.06</v>
      </c>
      <c r="F12">
        <v>-13919.0012</v>
      </c>
      <c r="G12">
        <v>-11429.1</v>
      </c>
      <c r="H12">
        <v>-7463.5</v>
      </c>
      <c r="I12">
        <v>-4490</v>
      </c>
      <c r="J12">
        <v>-1998</v>
      </c>
      <c r="K12">
        <v>-330</v>
      </c>
      <c r="L12">
        <v>-51</v>
      </c>
      <c r="M12">
        <v>-51</v>
      </c>
      <c r="N12">
        <v>0</v>
      </c>
    </row>
    <row r="13" spans="1:14">
      <c r="A13" s="1" t="s">
        <v>114</v>
      </c>
      <c r="B13">
        <v>49999</v>
      </c>
      <c r="C13">
        <v>-2994.39892797856</v>
      </c>
      <c r="D13">
        <v>1503.710688761994</v>
      </c>
      <c r="E13">
        <v>-5457.02</v>
      </c>
      <c r="F13">
        <v>-5457.0004</v>
      </c>
      <c r="G13">
        <v>-4947</v>
      </c>
      <c r="H13">
        <v>-4297</v>
      </c>
      <c r="I13">
        <v>-3261</v>
      </c>
      <c r="J13">
        <v>-1722</v>
      </c>
      <c r="K13">
        <v>-379.9000000000015</v>
      </c>
      <c r="L13">
        <v>-64</v>
      </c>
      <c r="M13">
        <v>-64</v>
      </c>
      <c r="N13">
        <v>0</v>
      </c>
    </row>
    <row r="14" spans="1:14">
      <c r="A14" s="1" t="s">
        <v>19</v>
      </c>
      <c r="B14">
        <v>17049</v>
      </c>
      <c r="C14">
        <v>12.01700979529591</v>
      </c>
      <c r="D14">
        <v>11.84887204920942</v>
      </c>
      <c r="E14">
        <v>0</v>
      </c>
      <c r="F14">
        <v>0</v>
      </c>
      <c r="G14">
        <v>1</v>
      </c>
      <c r="H14">
        <v>5</v>
      </c>
      <c r="I14">
        <v>9</v>
      </c>
      <c r="J14">
        <v>15</v>
      </c>
      <c r="K14">
        <v>29</v>
      </c>
      <c r="L14">
        <v>64</v>
      </c>
      <c r="M14">
        <v>64</v>
      </c>
      <c r="N14">
        <v>32950</v>
      </c>
    </row>
    <row r="15" spans="1:14">
      <c r="A15" s="1" t="s">
        <v>113</v>
      </c>
      <c r="B15">
        <v>49999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</row>
    <row r="16" spans="1:14">
      <c r="A16" s="1" t="s">
        <v>112</v>
      </c>
      <c r="B16">
        <v>49999</v>
      </c>
      <c r="C16">
        <v>0.8214764295285906</v>
      </c>
      <c r="D16">
        <v>0.3829567056900575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</row>
    <row r="17" spans="1:14">
      <c r="A17" s="1" t="s">
        <v>111</v>
      </c>
      <c r="B17">
        <v>49999</v>
      </c>
      <c r="C17">
        <v>0.1992639852797056</v>
      </c>
      <c r="D17">
        <v>0.3994509240630133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</row>
    <row r="18" spans="1:14">
      <c r="A18" s="1" t="s">
        <v>109</v>
      </c>
      <c r="B18">
        <v>49999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</row>
    <row r="19" spans="1:14">
      <c r="A19" s="1" t="s">
        <v>95</v>
      </c>
      <c r="B19">
        <v>49999</v>
      </c>
      <c r="C19">
        <v>0.2777255545110902</v>
      </c>
      <c r="D19">
        <v>0.4478817733783068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</row>
    <row r="20" spans="1:14">
      <c r="A20" s="1" t="s">
        <v>108</v>
      </c>
      <c r="B20">
        <v>49999</v>
      </c>
      <c r="C20">
        <v>0.05566111322226445</v>
      </c>
      <c r="D20">
        <v>0.229268412561017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</row>
    <row r="21" spans="1:14">
      <c r="A21" s="1" t="s">
        <v>107</v>
      </c>
      <c r="B21">
        <v>49999</v>
      </c>
      <c r="C21">
        <v>2.156223124462489</v>
      </c>
      <c r="D21">
        <v>0.8992925956458071</v>
      </c>
      <c r="E21">
        <v>1</v>
      </c>
      <c r="F21">
        <v>1</v>
      </c>
      <c r="G21">
        <v>1</v>
      </c>
      <c r="H21">
        <v>2</v>
      </c>
      <c r="I21">
        <v>2</v>
      </c>
      <c r="J21">
        <v>3</v>
      </c>
      <c r="K21">
        <v>4</v>
      </c>
      <c r="L21">
        <v>5</v>
      </c>
      <c r="M21">
        <v>5</v>
      </c>
      <c r="N21">
        <v>0</v>
      </c>
    </row>
    <row r="22" spans="1:14">
      <c r="A22" s="1" t="s">
        <v>106</v>
      </c>
      <c r="B22">
        <v>49999</v>
      </c>
      <c r="C22">
        <v>2.051661033220665</v>
      </c>
      <c r="D22">
        <v>0.5079778663330992</v>
      </c>
      <c r="E22">
        <v>1</v>
      </c>
      <c r="F22">
        <v>1</v>
      </c>
      <c r="G22">
        <v>1</v>
      </c>
      <c r="H22">
        <v>2</v>
      </c>
      <c r="I22">
        <v>2</v>
      </c>
      <c r="J22">
        <v>2</v>
      </c>
      <c r="K22">
        <v>3</v>
      </c>
      <c r="L22">
        <v>3</v>
      </c>
      <c r="M22">
        <v>3</v>
      </c>
      <c r="N22">
        <v>0</v>
      </c>
    </row>
    <row r="23" spans="1:14">
      <c r="A23" s="1" t="s">
        <v>105</v>
      </c>
      <c r="B23">
        <v>49999</v>
      </c>
      <c r="C23">
        <v>2.030720614412288</v>
      </c>
      <c r="D23">
        <v>0.5022214170854581</v>
      </c>
      <c r="E23">
        <v>1</v>
      </c>
      <c r="F23">
        <v>1</v>
      </c>
      <c r="G23">
        <v>1</v>
      </c>
      <c r="H23">
        <v>2</v>
      </c>
      <c r="I23">
        <v>2</v>
      </c>
      <c r="J23">
        <v>2</v>
      </c>
      <c r="K23">
        <v>3</v>
      </c>
      <c r="L23">
        <v>3</v>
      </c>
      <c r="M23">
        <v>3</v>
      </c>
      <c r="N23">
        <v>0</v>
      </c>
    </row>
    <row r="24" spans="1:14">
      <c r="A24" s="1" t="s">
        <v>103</v>
      </c>
      <c r="B24">
        <v>49999</v>
      </c>
      <c r="C24">
        <v>12.05140102802056</v>
      </c>
      <c r="D24">
        <v>3.214157933208717</v>
      </c>
      <c r="E24">
        <v>4</v>
      </c>
      <c r="F24">
        <v>4</v>
      </c>
      <c r="G24">
        <v>7</v>
      </c>
      <c r="H24">
        <v>10</v>
      </c>
      <c r="I24">
        <v>12</v>
      </c>
      <c r="J24">
        <v>14</v>
      </c>
      <c r="K24">
        <v>17</v>
      </c>
      <c r="L24">
        <v>19</v>
      </c>
      <c r="M24">
        <v>19</v>
      </c>
      <c r="N24">
        <v>0</v>
      </c>
    </row>
    <row r="25" spans="1:14">
      <c r="A25" s="1" t="s">
        <v>102</v>
      </c>
      <c r="B25">
        <v>49999</v>
      </c>
      <c r="C25">
        <v>0.01500030000600012</v>
      </c>
      <c r="D25">
        <v>0.1215548704222539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</row>
    <row r="26" spans="1:14">
      <c r="A26" s="1" t="s">
        <v>101</v>
      </c>
      <c r="B26">
        <v>49999</v>
      </c>
      <c r="C26">
        <v>0.0499209984199684</v>
      </c>
      <c r="D26">
        <v>0.217783931805157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</row>
    <row r="27" spans="1:14">
      <c r="A27" s="1" t="s">
        <v>100</v>
      </c>
      <c r="B27">
        <v>49999</v>
      </c>
      <c r="C27">
        <v>0.03964079281585631</v>
      </c>
      <c r="D27">
        <v>0.195115765071023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</row>
    <row r="28" spans="1:14">
      <c r="A28" s="1" t="s">
        <v>99</v>
      </c>
      <c r="B28">
        <v>49999</v>
      </c>
      <c r="C28">
        <v>0.07996159923198463</v>
      </c>
      <c r="D28">
        <v>0.2712364527380902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0</v>
      </c>
    </row>
    <row r="29" spans="1:14">
      <c r="A29" s="1" t="s">
        <v>97</v>
      </c>
      <c r="B29">
        <v>49999</v>
      </c>
      <c r="C29">
        <v>0.2321646432928658</v>
      </c>
      <c r="D29">
        <v>0.4222177011028946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</row>
    <row r="30" spans="1:14">
      <c r="A30" s="1" t="s">
        <v>96</v>
      </c>
      <c r="B30">
        <v>49999</v>
      </c>
      <c r="C30">
        <v>0.1797035940718814</v>
      </c>
      <c r="D30">
        <v>0.383944215572666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</row>
    <row r="31" spans="1:14">
      <c r="A31" s="1" t="s">
        <v>26</v>
      </c>
      <c r="B31">
        <v>49999</v>
      </c>
      <c r="C31">
        <v>0.5048921116251573</v>
      </c>
      <c r="D31">
        <v>0.1389165713638316</v>
      </c>
      <c r="E31">
        <v>0.08535215482</v>
      </c>
      <c r="F31">
        <v>0.11489616306</v>
      </c>
      <c r="G31">
        <v>0.2263823597</v>
      </c>
      <c r="H31">
        <v>0.506883944</v>
      </c>
      <c r="I31">
        <v>0.506883944</v>
      </c>
      <c r="J31">
        <v>0.506883944</v>
      </c>
      <c r="K31">
        <v>0.7751571385</v>
      </c>
      <c r="L31">
        <v>0.86685187964</v>
      </c>
      <c r="M31">
        <v>0.8876825961400003</v>
      </c>
      <c r="N31">
        <v>0</v>
      </c>
    </row>
    <row r="32" spans="1:14">
      <c r="A32" s="1" t="s">
        <v>65</v>
      </c>
      <c r="B32">
        <v>49999</v>
      </c>
      <c r="C32">
        <v>0.5140044504274446</v>
      </c>
      <c r="D32">
        <v>0.1903787782756671</v>
      </c>
      <c r="E32">
        <v>0.02908603824</v>
      </c>
      <c r="F32">
        <v>0.02914775836</v>
      </c>
      <c r="G32">
        <v>0.1318529177</v>
      </c>
      <c r="H32">
        <v>0.3922202055</v>
      </c>
      <c r="I32">
        <v>0.565585366</v>
      </c>
      <c r="J32">
        <v>0.663160518</v>
      </c>
      <c r="K32">
        <v>0.7465939868999999</v>
      </c>
      <c r="L32">
        <v>0.7819333821199999</v>
      </c>
      <c r="M32">
        <v>0.7819683549600001</v>
      </c>
      <c r="N32">
        <v>0</v>
      </c>
    </row>
    <row r="33" spans="1:14">
      <c r="A33" s="1" t="s">
        <v>53</v>
      </c>
      <c r="B33">
        <v>49999</v>
      </c>
      <c r="C33">
        <v>0.5166864542051004</v>
      </c>
      <c r="D33">
        <v>0.1734877659677027</v>
      </c>
      <c r="E33">
        <v>0.06804082222000001</v>
      </c>
      <c r="F33">
        <v>0.076473519</v>
      </c>
      <c r="G33">
        <v>0.175605979</v>
      </c>
      <c r="H33">
        <v>0.417099668</v>
      </c>
      <c r="I33">
        <v>0.53527625</v>
      </c>
      <c r="J33">
        <v>0.638043528</v>
      </c>
      <c r="K33">
        <v>0.7765348101999983</v>
      </c>
      <c r="L33">
        <v>0.832785025</v>
      </c>
      <c r="M33">
        <v>0.8342456925999991</v>
      </c>
      <c r="N33">
        <v>0</v>
      </c>
    </row>
    <row r="34" spans="1:14">
      <c r="A34" s="1" t="s">
        <v>35</v>
      </c>
      <c r="B34">
        <v>49999</v>
      </c>
      <c r="C34">
        <v>0.1017380167603352</v>
      </c>
      <c r="D34">
        <v>0.07202677287089328</v>
      </c>
      <c r="E34">
        <v>0.0021</v>
      </c>
      <c r="F34">
        <v>0.0041</v>
      </c>
      <c r="G34">
        <v>0.0165</v>
      </c>
      <c r="H34">
        <v>0.0876</v>
      </c>
      <c r="I34">
        <v>0.0876</v>
      </c>
      <c r="J34">
        <v>0.0876</v>
      </c>
      <c r="K34">
        <v>0.2419399999999994</v>
      </c>
      <c r="L34">
        <v>0.4433</v>
      </c>
      <c r="M34">
        <v>0.5361</v>
      </c>
      <c r="N34">
        <v>0</v>
      </c>
    </row>
    <row r="35" spans="1:14">
      <c r="A35" s="1" t="s">
        <v>24</v>
      </c>
      <c r="B35">
        <v>49999</v>
      </c>
      <c r="C35">
        <v>0.08074021976439531</v>
      </c>
      <c r="D35">
        <v>0.04671582308680571</v>
      </c>
      <c r="E35">
        <v>0</v>
      </c>
      <c r="F35">
        <v>0</v>
      </c>
      <c r="G35">
        <v>0.002890000000000009</v>
      </c>
      <c r="H35">
        <v>0.0761</v>
      </c>
      <c r="I35">
        <v>0.0761</v>
      </c>
      <c r="J35">
        <v>0.0761</v>
      </c>
      <c r="K35">
        <v>0.1578</v>
      </c>
      <c r="L35">
        <v>0.3003</v>
      </c>
      <c r="M35">
        <v>0.3882059999999991</v>
      </c>
      <c r="N35">
        <v>0</v>
      </c>
    </row>
    <row r="36" spans="1:14">
      <c r="A36" s="1" t="s">
        <v>49</v>
      </c>
      <c r="B36">
        <v>49999</v>
      </c>
      <c r="C36">
        <v>0.9815001000020001</v>
      </c>
      <c r="D36">
        <v>0.006084610331756295</v>
      </c>
      <c r="E36">
        <v>0.9508</v>
      </c>
      <c r="F36">
        <v>0.9578</v>
      </c>
      <c r="G36">
        <v>0.9722</v>
      </c>
      <c r="H36">
        <v>0.9816</v>
      </c>
      <c r="I36">
        <v>0.9816</v>
      </c>
      <c r="J36">
        <v>0.9821</v>
      </c>
      <c r="K36">
        <v>0.9911</v>
      </c>
      <c r="L36">
        <v>0.998</v>
      </c>
      <c r="M36">
        <v>0.999</v>
      </c>
      <c r="N36">
        <v>0</v>
      </c>
    </row>
    <row r="37" spans="1:14">
      <c r="A37" s="1" t="s">
        <v>18</v>
      </c>
      <c r="B37">
        <v>16760</v>
      </c>
      <c r="C37">
        <v>0.7525024124105012</v>
      </c>
      <c r="D37">
        <v>0.1088431915158396</v>
      </c>
      <c r="E37">
        <v>0.362024</v>
      </c>
      <c r="F37">
        <v>0.36531384</v>
      </c>
      <c r="G37">
        <v>0.592</v>
      </c>
      <c r="H37">
        <v>0.6872</v>
      </c>
      <c r="I37">
        <v>0.7552</v>
      </c>
      <c r="J37">
        <v>0.8232</v>
      </c>
      <c r="K37">
        <v>0.9524</v>
      </c>
      <c r="L37">
        <v>0.9864000000000001</v>
      </c>
      <c r="M37">
        <v>0.9864000000000001</v>
      </c>
      <c r="N37">
        <v>33239</v>
      </c>
    </row>
    <row r="38" spans="1:14">
      <c r="A38" s="1" t="s">
        <v>4</v>
      </c>
      <c r="B38">
        <v>15039</v>
      </c>
      <c r="C38">
        <v>0.04270103198350954</v>
      </c>
      <c r="D38">
        <v>0.06294806236957171</v>
      </c>
      <c r="E38">
        <v>0</v>
      </c>
      <c r="F38">
        <v>0</v>
      </c>
      <c r="G38">
        <v>0</v>
      </c>
      <c r="H38">
        <v>0.0077</v>
      </c>
      <c r="I38">
        <v>0.0208</v>
      </c>
      <c r="J38">
        <v>0.0505</v>
      </c>
      <c r="K38">
        <v>0.1592299999999996</v>
      </c>
      <c r="L38">
        <v>0.3817843999999987</v>
      </c>
      <c r="M38">
        <v>0.382019999999999</v>
      </c>
      <c r="N38">
        <v>34960</v>
      </c>
    </row>
    <row r="39" spans="1:14">
      <c r="A39" s="1" t="s">
        <v>31</v>
      </c>
      <c r="B39">
        <v>49999</v>
      </c>
      <c r="C39">
        <v>0.03610662613252266</v>
      </c>
      <c r="D39">
        <v>0.09540306821120696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0.24</v>
      </c>
      <c r="L39">
        <v>0.48</v>
      </c>
      <c r="M39">
        <v>0.6</v>
      </c>
      <c r="N39">
        <v>0</v>
      </c>
    </row>
    <row r="40" spans="1:14">
      <c r="A40" s="1" t="s">
        <v>38</v>
      </c>
      <c r="B40">
        <v>49999</v>
      </c>
      <c r="C40">
        <v>0.1434056541130823</v>
      </c>
      <c r="D40">
        <v>0.06496821760063587</v>
      </c>
      <c r="E40">
        <v>0.0345</v>
      </c>
      <c r="F40">
        <v>0.0345</v>
      </c>
      <c r="G40">
        <v>0.0345</v>
      </c>
      <c r="H40">
        <v>0.1379</v>
      </c>
      <c r="I40">
        <v>0.1379</v>
      </c>
      <c r="J40">
        <v>0.1379</v>
      </c>
      <c r="K40">
        <v>0.2759</v>
      </c>
      <c r="L40">
        <v>0.4138</v>
      </c>
      <c r="M40">
        <v>0.5172</v>
      </c>
      <c r="N40">
        <v>0</v>
      </c>
    </row>
    <row r="41" spans="1:14">
      <c r="A41" s="1" t="s">
        <v>46</v>
      </c>
      <c r="B41">
        <v>49999</v>
      </c>
      <c r="C41">
        <v>0.1956103382067642</v>
      </c>
      <c r="D41">
        <v>0.1035343161193823</v>
      </c>
      <c r="E41">
        <v>0</v>
      </c>
      <c r="F41">
        <v>0.0208</v>
      </c>
      <c r="G41">
        <v>0.0417</v>
      </c>
      <c r="H41">
        <v>0.1667</v>
      </c>
      <c r="I41">
        <v>0.1667</v>
      </c>
      <c r="J41">
        <v>0.1667</v>
      </c>
      <c r="K41">
        <v>0.375</v>
      </c>
      <c r="L41">
        <v>0.625</v>
      </c>
      <c r="M41">
        <v>0.6667</v>
      </c>
      <c r="N41">
        <v>0</v>
      </c>
    </row>
    <row r="42" spans="1:14">
      <c r="A42" s="1" t="s">
        <v>13</v>
      </c>
      <c r="B42">
        <v>16105</v>
      </c>
      <c r="C42">
        <v>0.2307284383731761</v>
      </c>
      <c r="D42">
        <v>0.1581501588698944</v>
      </c>
      <c r="E42">
        <v>0</v>
      </c>
      <c r="F42">
        <v>0</v>
      </c>
      <c r="G42">
        <v>0.0417</v>
      </c>
      <c r="H42">
        <v>0.0833</v>
      </c>
      <c r="I42">
        <v>0.2083</v>
      </c>
      <c r="J42">
        <v>0.375</v>
      </c>
      <c r="K42">
        <v>0.5</v>
      </c>
      <c r="L42">
        <v>0.7083</v>
      </c>
      <c r="M42">
        <v>0.7083</v>
      </c>
      <c r="N42">
        <v>33894</v>
      </c>
    </row>
    <row r="43" spans="1:14">
      <c r="A43" s="1" t="s">
        <v>22</v>
      </c>
      <c r="B43">
        <v>49999</v>
      </c>
      <c r="C43">
        <v>0.05489467665353308</v>
      </c>
      <c r="D43">
        <v>0.04365840363391478</v>
      </c>
      <c r="E43">
        <v>0</v>
      </c>
      <c r="F43">
        <v>0</v>
      </c>
      <c r="G43">
        <v>0.0011</v>
      </c>
      <c r="H43">
        <v>0.0483</v>
      </c>
      <c r="I43">
        <v>0.0483</v>
      </c>
      <c r="J43">
        <v>0.0483</v>
      </c>
      <c r="K43">
        <v>0.1269</v>
      </c>
      <c r="L43">
        <v>0.2653019999999996</v>
      </c>
      <c r="M43">
        <v>0.380446</v>
      </c>
      <c r="N43">
        <v>0</v>
      </c>
    </row>
    <row r="44" spans="1:14">
      <c r="A44" s="1" t="s">
        <v>10</v>
      </c>
      <c r="B44">
        <v>15773</v>
      </c>
      <c r="C44">
        <v>0.09902067406327268</v>
      </c>
      <c r="D44">
        <v>0.08446143765551538</v>
      </c>
      <c r="E44">
        <v>0.003147999999999999</v>
      </c>
      <c r="F44">
        <v>0.003329439999999999</v>
      </c>
      <c r="G44">
        <v>0.0101</v>
      </c>
      <c r="H44">
        <v>0.0504</v>
      </c>
      <c r="I44">
        <v>0.07480000000000001</v>
      </c>
      <c r="J44">
        <v>0.121</v>
      </c>
      <c r="K44">
        <v>0.2749</v>
      </c>
      <c r="L44">
        <v>0.4540332800000006</v>
      </c>
      <c r="M44">
        <v>0.4543760000000011</v>
      </c>
      <c r="N44">
        <v>34226</v>
      </c>
    </row>
    <row r="45" spans="1:14">
      <c r="A45" s="1" t="s">
        <v>40</v>
      </c>
      <c r="B45">
        <v>49999</v>
      </c>
      <c r="C45">
        <v>0.09029768595371908</v>
      </c>
      <c r="D45">
        <v>0.07389241946797716</v>
      </c>
      <c r="E45">
        <v>0.0022</v>
      </c>
      <c r="F45">
        <v>0.0041</v>
      </c>
      <c r="G45">
        <v>0.0143</v>
      </c>
      <c r="H45">
        <v>0.0746</v>
      </c>
      <c r="I45">
        <v>0.0746</v>
      </c>
      <c r="J45">
        <v>0.0746</v>
      </c>
      <c r="K45">
        <v>0.2320099999999999</v>
      </c>
      <c r="L45">
        <v>0.4504039999999994</v>
      </c>
      <c r="M45">
        <v>0.5537</v>
      </c>
      <c r="N45">
        <v>0</v>
      </c>
    </row>
    <row r="46" spans="1:14">
      <c r="A46" s="1" t="s">
        <v>7</v>
      </c>
      <c r="B46">
        <v>15285</v>
      </c>
      <c r="C46">
        <v>0.006378318613019299</v>
      </c>
      <c r="D46">
        <v>0.01645604169346268</v>
      </c>
      <c r="E46">
        <v>0</v>
      </c>
      <c r="F46">
        <v>0</v>
      </c>
      <c r="G46">
        <v>0</v>
      </c>
      <c r="H46">
        <v>0</v>
      </c>
      <c r="I46">
        <v>0</v>
      </c>
      <c r="J46">
        <v>0.0039</v>
      </c>
      <c r="K46">
        <v>0.0309</v>
      </c>
      <c r="L46">
        <v>0.1197</v>
      </c>
      <c r="M46">
        <v>0.1197</v>
      </c>
      <c r="N46">
        <v>34714</v>
      </c>
    </row>
    <row r="47" spans="1:14">
      <c r="A47" s="1" t="s">
        <v>28</v>
      </c>
      <c r="B47">
        <v>49999</v>
      </c>
      <c r="C47">
        <v>0.01375009600192004</v>
      </c>
      <c r="D47">
        <v>0.03671913195603688</v>
      </c>
      <c r="E47">
        <v>0</v>
      </c>
      <c r="F47">
        <v>0</v>
      </c>
      <c r="G47">
        <v>0</v>
      </c>
      <c r="H47">
        <v>0.0036</v>
      </c>
      <c r="I47">
        <v>0.0036</v>
      </c>
      <c r="J47">
        <v>0.0036</v>
      </c>
      <c r="K47">
        <v>0.0736</v>
      </c>
      <c r="L47">
        <v>0.203305999999999</v>
      </c>
      <c r="M47">
        <v>0.3111220000000005</v>
      </c>
      <c r="N47">
        <v>0</v>
      </c>
    </row>
    <row r="48" spans="1:14">
      <c r="A48" s="1" t="s">
        <v>36</v>
      </c>
      <c r="B48">
        <v>49999</v>
      </c>
      <c r="C48">
        <v>0.09826405086101722</v>
      </c>
      <c r="D48">
        <v>0.07165296004184767</v>
      </c>
      <c r="E48">
        <v>0.0021</v>
      </c>
      <c r="F48">
        <v>0.0042</v>
      </c>
      <c r="G48">
        <v>0.0168</v>
      </c>
      <c r="H48">
        <v>0.08400000000000001</v>
      </c>
      <c r="I48">
        <v>0.08400000000000001</v>
      </c>
      <c r="J48">
        <v>0.08400000000000001</v>
      </c>
      <c r="K48">
        <v>0.2332</v>
      </c>
      <c r="L48">
        <v>0.4391</v>
      </c>
      <c r="M48">
        <v>0.5324569999999988</v>
      </c>
      <c r="N48">
        <v>0</v>
      </c>
    </row>
    <row r="49" spans="1:14">
      <c r="A49" s="1" t="s">
        <v>25</v>
      </c>
      <c r="B49">
        <v>49999</v>
      </c>
      <c r="C49">
        <v>0.07940000816016321</v>
      </c>
      <c r="D49">
        <v>0.04820188214364435</v>
      </c>
      <c r="E49">
        <v>0</v>
      </c>
      <c r="F49">
        <v>0</v>
      </c>
      <c r="G49">
        <v>0</v>
      </c>
      <c r="H49">
        <v>0.07439999999999999</v>
      </c>
      <c r="I49">
        <v>0.07439999999999999</v>
      </c>
      <c r="J49">
        <v>0.07439999999999999</v>
      </c>
      <c r="K49">
        <v>0.1589</v>
      </c>
      <c r="L49">
        <v>0.3076039999999993</v>
      </c>
      <c r="M49">
        <v>0.3998009999999999</v>
      </c>
      <c r="N49">
        <v>0</v>
      </c>
    </row>
    <row r="50" spans="1:14">
      <c r="A50" s="1" t="s">
        <v>47</v>
      </c>
      <c r="B50">
        <v>49999</v>
      </c>
      <c r="C50">
        <v>0.9813819756395128</v>
      </c>
      <c r="D50">
        <v>0.006168105718131999</v>
      </c>
      <c r="E50">
        <v>0.9499</v>
      </c>
      <c r="F50">
        <v>0.9568</v>
      </c>
      <c r="G50">
        <v>0.9722</v>
      </c>
      <c r="H50">
        <v>0.9811</v>
      </c>
      <c r="I50">
        <v>0.9816</v>
      </c>
      <c r="J50">
        <v>0.9816</v>
      </c>
      <c r="K50">
        <v>0.9906</v>
      </c>
      <c r="L50">
        <v>0.998</v>
      </c>
      <c r="M50">
        <v>0.999</v>
      </c>
      <c r="N50">
        <v>0</v>
      </c>
    </row>
    <row r="51" spans="1:14">
      <c r="A51" s="1" t="s">
        <v>17</v>
      </c>
      <c r="B51">
        <v>16760</v>
      </c>
      <c r="C51">
        <v>0.7596353937947494</v>
      </c>
      <c r="D51">
        <v>0.1062581915999013</v>
      </c>
      <c r="E51">
        <v>0.3662</v>
      </c>
      <c r="F51">
        <v>0.3662</v>
      </c>
      <c r="G51">
        <v>0.6014</v>
      </c>
      <c r="H51">
        <v>0.6929</v>
      </c>
      <c r="I51">
        <v>0.7648</v>
      </c>
      <c r="J51">
        <v>0.8236</v>
      </c>
      <c r="K51">
        <v>0.9543</v>
      </c>
      <c r="L51">
        <v>0.9869</v>
      </c>
      <c r="M51">
        <v>0.9869</v>
      </c>
      <c r="N51">
        <v>33239</v>
      </c>
    </row>
    <row r="52" spans="1:14">
      <c r="A52" s="1" t="s">
        <v>5</v>
      </c>
      <c r="B52">
        <v>15039</v>
      </c>
      <c r="C52">
        <v>0.04069222182325952</v>
      </c>
      <c r="D52">
        <v>0.06137914175304564</v>
      </c>
      <c r="E52">
        <v>0</v>
      </c>
      <c r="F52">
        <v>0</v>
      </c>
      <c r="G52">
        <v>0</v>
      </c>
      <c r="H52">
        <v>0.0071</v>
      </c>
      <c r="I52">
        <v>0.0189</v>
      </c>
      <c r="J52">
        <v>0.04795</v>
      </c>
      <c r="K52">
        <v>0.1524199999999997</v>
      </c>
      <c r="L52">
        <v>0.3798768799999998</v>
      </c>
      <c r="M52">
        <v>0.3799239999999998</v>
      </c>
      <c r="N52">
        <v>34960</v>
      </c>
    </row>
    <row r="53" spans="1:14">
      <c r="A53" s="1" t="s">
        <v>32</v>
      </c>
      <c r="B53">
        <v>49999</v>
      </c>
      <c r="C53">
        <v>0.03402999059981199</v>
      </c>
      <c r="D53">
        <v>0.093147519505339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0.2417</v>
      </c>
      <c r="L53">
        <v>0.4834</v>
      </c>
      <c r="M53">
        <v>0.6042</v>
      </c>
      <c r="N53">
        <v>0</v>
      </c>
    </row>
    <row r="54" spans="1:14">
      <c r="A54" s="1" t="s">
        <v>39</v>
      </c>
      <c r="B54">
        <v>49999</v>
      </c>
      <c r="C54">
        <v>0.1411629592591852</v>
      </c>
      <c r="D54">
        <v>0.06545001103260967</v>
      </c>
      <c r="E54">
        <v>0.0345</v>
      </c>
      <c r="F54">
        <v>0.0345</v>
      </c>
      <c r="G54">
        <v>0.0345</v>
      </c>
      <c r="H54">
        <v>0.1379</v>
      </c>
      <c r="I54">
        <v>0.1379</v>
      </c>
      <c r="J54">
        <v>0.1379</v>
      </c>
      <c r="K54">
        <v>0.2759</v>
      </c>
      <c r="L54">
        <v>0.4138</v>
      </c>
      <c r="M54">
        <v>0.5172</v>
      </c>
      <c r="N54">
        <v>0</v>
      </c>
    </row>
    <row r="55" spans="1:14">
      <c r="A55" s="1" t="s">
        <v>44</v>
      </c>
      <c r="B55">
        <v>49999</v>
      </c>
      <c r="C55">
        <v>0.193660035200704</v>
      </c>
      <c r="D55">
        <v>0.1026164851910651</v>
      </c>
      <c r="E55">
        <v>0</v>
      </c>
      <c r="F55">
        <v>0</v>
      </c>
      <c r="G55">
        <v>0.0417</v>
      </c>
      <c r="H55">
        <v>0.1667</v>
      </c>
      <c r="I55">
        <v>0.1667</v>
      </c>
      <c r="J55">
        <v>0.1667</v>
      </c>
      <c r="K55">
        <v>0.375</v>
      </c>
      <c r="L55">
        <v>0.625</v>
      </c>
      <c r="M55">
        <v>0.6667</v>
      </c>
      <c r="N55">
        <v>0</v>
      </c>
    </row>
    <row r="56" spans="1:14">
      <c r="A56" s="1" t="s">
        <v>14</v>
      </c>
      <c r="B56">
        <v>16105</v>
      </c>
      <c r="C56">
        <v>0.2273700155231294</v>
      </c>
      <c r="D56">
        <v>0.1583208576706738</v>
      </c>
      <c r="E56">
        <v>0</v>
      </c>
      <c r="F56">
        <v>0</v>
      </c>
      <c r="G56">
        <v>0.0417</v>
      </c>
      <c r="H56">
        <v>0.0833</v>
      </c>
      <c r="I56">
        <v>0.2083</v>
      </c>
      <c r="J56">
        <v>0.375</v>
      </c>
      <c r="K56">
        <v>0.5</v>
      </c>
      <c r="L56">
        <v>0.7083</v>
      </c>
      <c r="M56">
        <v>0.7083</v>
      </c>
      <c r="N56">
        <v>33894</v>
      </c>
    </row>
    <row r="57" spans="1:14">
      <c r="A57" s="1" t="s">
        <v>21</v>
      </c>
      <c r="B57">
        <v>49999</v>
      </c>
      <c r="C57">
        <v>0.05277675941518829</v>
      </c>
      <c r="D57">
        <v>0.04409036908323736</v>
      </c>
      <c r="E57">
        <v>0</v>
      </c>
      <c r="F57">
        <v>0</v>
      </c>
      <c r="G57">
        <v>0</v>
      </c>
      <c r="H57">
        <v>0.0458</v>
      </c>
      <c r="I57">
        <v>0.0458</v>
      </c>
      <c r="J57">
        <v>0.0458</v>
      </c>
      <c r="K57">
        <v>0.1263099999999998</v>
      </c>
      <c r="L57">
        <v>0.2671039999999993</v>
      </c>
      <c r="M57">
        <v>0.3795979999999989</v>
      </c>
      <c r="N57">
        <v>0</v>
      </c>
    </row>
    <row r="58" spans="1:14">
      <c r="A58" s="1" t="s">
        <v>9</v>
      </c>
      <c r="B58">
        <v>15773</v>
      </c>
      <c r="C58">
        <v>0.103985033411526</v>
      </c>
      <c r="D58">
        <v>0.09067540628448503</v>
      </c>
      <c r="E58">
        <v>0.0018</v>
      </c>
      <c r="F58">
        <v>0.0018</v>
      </c>
      <c r="G58">
        <v>0.011</v>
      </c>
      <c r="H58">
        <v>0.0533</v>
      </c>
      <c r="I58">
        <v>0.07439999999999999</v>
      </c>
      <c r="J58">
        <v>0.1304</v>
      </c>
      <c r="K58">
        <v>0.2966</v>
      </c>
      <c r="L58">
        <v>0.4923411200000007</v>
      </c>
      <c r="M58">
        <v>0.4927040000000012</v>
      </c>
      <c r="N58">
        <v>34226</v>
      </c>
    </row>
    <row r="59" spans="1:14">
      <c r="A59" s="1" t="s">
        <v>41</v>
      </c>
      <c r="B59">
        <v>49999</v>
      </c>
      <c r="C59">
        <v>0.0887785244304886</v>
      </c>
      <c r="D59">
        <v>0.07479645367417125</v>
      </c>
      <c r="E59">
        <v>0.002</v>
      </c>
      <c r="F59">
        <v>0.0036</v>
      </c>
      <c r="G59">
        <v>0.0132</v>
      </c>
      <c r="H59">
        <v>0.0731</v>
      </c>
      <c r="I59">
        <v>0.0731</v>
      </c>
      <c r="J59">
        <v>0.0731</v>
      </c>
      <c r="K59">
        <v>0.2323</v>
      </c>
      <c r="L59">
        <v>0.4595059999999991</v>
      </c>
      <c r="M59">
        <v>0.5638069999999993</v>
      </c>
      <c r="N59">
        <v>0</v>
      </c>
    </row>
    <row r="60" spans="1:14">
      <c r="A60" s="1" t="s">
        <v>6</v>
      </c>
      <c r="B60">
        <v>15285</v>
      </c>
      <c r="C60">
        <v>0.005718377494275433</v>
      </c>
      <c r="D60">
        <v>0.01501566857601529</v>
      </c>
      <c r="E60">
        <v>0</v>
      </c>
      <c r="F60">
        <v>0</v>
      </c>
      <c r="G60">
        <v>0</v>
      </c>
      <c r="H60">
        <v>0</v>
      </c>
      <c r="I60">
        <v>0</v>
      </c>
      <c r="J60">
        <v>0.0039</v>
      </c>
      <c r="K60">
        <v>0.0272</v>
      </c>
      <c r="L60">
        <v>0.1089</v>
      </c>
      <c r="M60">
        <v>0.1089</v>
      </c>
      <c r="N60">
        <v>34714</v>
      </c>
    </row>
    <row r="61" spans="1:14">
      <c r="A61" s="1" t="s">
        <v>27</v>
      </c>
      <c r="B61">
        <v>49999</v>
      </c>
      <c r="C61">
        <v>0.01189734594691894</v>
      </c>
      <c r="D61">
        <v>0.03772318454083933</v>
      </c>
      <c r="E61">
        <v>0</v>
      </c>
      <c r="F61">
        <v>0</v>
      </c>
      <c r="G61">
        <v>0</v>
      </c>
      <c r="H61">
        <v>0.0012</v>
      </c>
      <c r="I61">
        <v>0.0012</v>
      </c>
      <c r="J61">
        <v>0.0012</v>
      </c>
      <c r="K61">
        <v>0.0707</v>
      </c>
      <c r="L61">
        <v>0.2088</v>
      </c>
      <c r="M61">
        <v>0.3221</v>
      </c>
      <c r="N61">
        <v>0</v>
      </c>
    </row>
    <row r="62" spans="1:14">
      <c r="A62" s="1" t="s">
        <v>34</v>
      </c>
      <c r="B62">
        <v>49999</v>
      </c>
      <c r="C62">
        <v>0.1018531246424928</v>
      </c>
      <c r="D62">
        <v>0.07273753179073442</v>
      </c>
      <c r="E62">
        <v>0.0021</v>
      </c>
      <c r="F62">
        <v>0.0042</v>
      </c>
      <c r="G62">
        <v>0.0167</v>
      </c>
      <c r="H62">
        <v>0.08740000000000001</v>
      </c>
      <c r="I62">
        <v>0.08740000000000001</v>
      </c>
      <c r="J62">
        <v>0.08740000000000001</v>
      </c>
      <c r="K62">
        <v>0.2436</v>
      </c>
      <c r="L62">
        <v>0.4476</v>
      </c>
      <c r="M62">
        <v>0.5411569999999989</v>
      </c>
      <c r="N62">
        <v>0</v>
      </c>
    </row>
    <row r="63" spans="1:14">
      <c r="A63" s="1" t="s">
        <v>23</v>
      </c>
      <c r="B63">
        <v>49999</v>
      </c>
      <c r="C63">
        <v>0.08035631912638254</v>
      </c>
      <c r="D63">
        <v>0.04672175695885562</v>
      </c>
      <c r="E63">
        <v>0</v>
      </c>
      <c r="F63">
        <v>0</v>
      </c>
      <c r="G63">
        <v>0.002</v>
      </c>
      <c r="H63">
        <v>0.0757</v>
      </c>
      <c r="I63">
        <v>0.0757</v>
      </c>
      <c r="J63">
        <v>0.0757</v>
      </c>
      <c r="K63">
        <v>0.1575099999999998</v>
      </c>
      <c r="L63">
        <v>0.3003</v>
      </c>
      <c r="M63">
        <v>0.388</v>
      </c>
      <c r="N63">
        <v>0</v>
      </c>
    </row>
    <row r="64" spans="1:14">
      <c r="A64" s="1" t="s">
        <v>48</v>
      </c>
      <c r="B64">
        <v>49999</v>
      </c>
      <c r="C64">
        <v>0.9815045240904821</v>
      </c>
      <c r="D64">
        <v>0.006094184399602182</v>
      </c>
      <c r="E64">
        <v>0.9508</v>
      </c>
      <c r="F64">
        <v>0.9578</v>
      </c>
      <c r="G64">
        <v>0.9722</v>
      </c>
      <c r="H64">
        <v>0.9816</v>
      </c>
      <c r="I64">
        <v>0.9816</v>
      </c>
      <c r="J64">
        <v>0.9821</v>
      </c>
      <c r="K64">
        <v>0.9911</v>
      </c>
      <c r="L64">
        <v>0.998</v>
      </c>
      <c r="M64">
        <v>0.999</v>
      </c>
      <c r="N64">
        <v>0</v>
      </c>
    </row>
    <row r="65" spans="1:14">
      <c r="A65" s="1" t="s">
        <v>16</v>
      </c>
      <c r="B65">
        <v>16760</v>
      </c>
      <c r="C65">
        <v>0.7558970348448686</v>
      </c>
      <c r="D65">
        <v>0.1073003594583279</v>
      </c>
      <c r="E65">
        <v>0.380053</v>
      </c>
      <c r="F65">
        <v>0.38167373</v>
      </c>
      <c r="G65">
        <v>0.5975</v>
      </c>
      <c r="H65">
        <v>0.6914</v>
      </c>
      <c r="I65">
        <v>0.7585</v>
      </c>
      <c r="J65">
        <v>0.8256</v>
      </c>
      <c r="K65">
        <v>0.953</v>
      </c>
      <c r="L65">
        <v>0.9866</v>
      </c>
      <c r="M65">
        <v>0.9866</v>
      </c>
      <c r="N65">
        <v>33239</v>
      </c>
    </row>
    <row r="66" spans="1:14">
      <c r="A66" s="1" t="s">
        <v>3</v>
      </c>
      <c r="B66">
        <v>15039</v>
      </c>
      <c r="C66">
        <v>0.04271100099740673</v>
      </c>
      <c r="D66">
        <v>0.0631107442388001</v>
      </c>
      <c r="E66">
        <v>0</v>
      </c>
      <c r="F66">
        <v>0</v>
      </c>
      <c r="G66">
        <v>0</v>
      </c>
      <c r="H66">
        <v>0.0077</v>
      </c>
      <c r="I66">
        <v>0.0207</v>
      </c>
      <c r="J66">
        <v>0.05025</v>
      </c>
      <c r="K66">
        <v>0.1600199999999997</v>
      </c>
      <c r="L66">
        <v>0.3830612799999984</v>
      </c>
      <c r="M66">
        <v>0.3833439999999987</v>
      </c>
      <c r="N66">
        <v>34960</v>
      </c>
    </row>
    <row r="67" spans="1:14">
      <c r="A67" s="1" t="s">
        <v>30</v>
      </c>
      <c r="B67">
        <v>49999</v>
      </c>
      <c r="C67">
        <v>0.03571591431828636</v>
      </c>
      <c r="D67">
        <v>0.09515978768548841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0.24</v>
      </c>
      <c r="L67">
        <v>0.48</v>
      </c>
      <c r="M67">
        <v>0.6</v>
      </c>
      <c r="N67">
        <v>0</v>
      </c>
    </row>
    <row r="68" spans="1:14">
      <c r="A68" s="1" t="s">
        <v>37</v>
      </c>
      <c r="B68">
        <v>49999</v>
      </c>
      <c r="C68">
        <v>0.1431509490189804</v>
      </c>
      <c r="D68">
        <v>0.06519079938658805</v>
      </c>
      <c r="E68">
        <v>0.0345</v>
      </c>
      <c r="F68">
        <v>0.0345</v>
      </c>
      <c r="G68">
        <v>0.0345</v>
      </c>
      <c r="H68">
        <v>0.1379</v>
      </c>
      <c r="I68">
        <v>0.1379</v>
      </c>
      <c r="J68">
        <v>0.1379</v>
      </c>
      <c r="K68">
        <v>0.2759</v>
      </c>
      <c r="L68">
        <v>0.4138</v>
      </c>
      <c r="M68">
        <v>0.5172</v>
      </c>
      <c r="N68">
        <v>0</v>
      </c>
    </row>
    <row r="69" spans="1:14">
      <c r="A69" s="1" t="s">
        <v>45</v>
      </c>
      <c r="B69">
        <v>49999</v>
      </c>
      <c r="C69">
        <v>0.1954203724074482</v>
      </c>
      <c r="D69">
        <v>0.1037829635051624</v>
      </c>
      <c r="E69">
        <v>0</v>
      </c>
      <c r="F69">
        <v>0</v>
      </c>
      <c r="G69">
        <v>0.0417</v>
      </c>
      <c r="H69">
        <v>0.1667</v>
      </c>
      <c r="I69">
        <v>0.1667</v>
      </c>
      <c r="J69">
        <v>0.1667</v>
      </c>
      <c r="K69">
        <v>0.375</v>
      </c>
      <c r="L69">
        <v>0.625</v>
      </c>
      <c r="M69">
        <v>0.6667</v>
      </c>
      <c r="N69">
        <v>0</v>
      </c>
    </row>
    <row r="70" spans="1:14">
      <c r="A70" s="1" t="s">
        <v>15</v>
      </c>
      <c r="B70">
        <v>16105</v>
      </c>
      <c r="C70">
        <v>0.2306364669357342</v>
      </c>
      <c r="D70">
        <v>0.1586656235380176</v>
      </c>
      <c r="E70">
        <v>0</v>
      </c>
      <c r="F70">
        <v>0</v>
      </c>
      <c r="G70">
        <v>0.0417</v>
      </c>
      <c r="H70">
        <v>0.0833</v>
      </c>
      <c r="I70">
        <v>0.2083</v>
      </c>
      <c r="J70">
        <v>0.375</v>
      </c>
      <c r="K70">
        <v>0.5</v>
      </c>
      <c r="L70">
        <v>0.7083</v>
      </c>
      <c r="M70">
        <v>0.7083</v>
      </c>
      <c r="N70">
        <v>33894</v>
      </c>
    </row>
    <row r="71" spans="1:14">
      <c r="A71" s="1" t="s">
        <v>20</v>
      </c>
      <c r="B71">
        <v>49999</v>
      </c>
      <c r="C71">
        <v>0.05551444628892578</v>
      </c>
      <c r="D71">
        <v>0.04434120000619773</v>
      </c>
      <c r="E71">
        <v>0</v>
      </c>
      <c r="F71">
        <v>0</v>
      </c>
      <c r="G71">
        <v>0</v>
      </c>
      <c r="H71">
        <v>0.0488</v>
      </c>
      <c r="I71">
        <v>0.0488</v>
      </c>
      <c r="J71">
        <v>0.0488</v>
      </c>
      <c r="K71">
        <v>0.1287099999999999</v>
      </c>
      <c r="L71">
        <v>0.2692019999999997</v>
      </c>
      <c r="M71">
        <v>0.387</v>
      </c>
      <c r="N71">
        <v>0</v>
      </c>
    </row>
    <row r="72" spans="1:14">
      <c r="A72" s="1" t="s">
        <v>11</v>
      </c>
      <c r="B72">
        <v>15773</v>
      </c>
      <c r="C72">
        <v>0.1003173671463894</v>
      </c>
      <c r="D72">
        <v>0.08597679388521688</v>
      </c>
      <c r="E72">
        <v>0.0026</v>
      </c>
      <c r="F72">
        <v>0.0026</v>
      </c>
      <c r="G72">
        <v>0.0103</v>
      </c>
      <c r="H72">
        <v>0.0513</v>
      </c>
      <c r="I72">
        <v>0.0761</v>
      </c>
      <c r="J72">
        <v>0.1231</v>
      </c>
      <c r="K72">
        <v>0.2813</v>
      </c>
      <c r="L72">
        <v>0.4618411200000007</v>
      </c>
      <c r="M72">
        <v>0.4622040000000012</v>
      </c>
      <c r="N72">
        <v>34226</v>
      </c>
    </row>
    <row r="73" spans="1:14">
      <c r="A73" s="1" t="s">
        <v>42</v>
      </c>
      <c r="B73">
        <v>49999</v>
      </c>
      <c r="C73">
        <v>0.09107118542370846</v>
      </c>
      <c r="D73">
        <v>0.07507181010075401</v>
      </c>
      <c r="E73">
        <v>0.0022</v>
      </c>
      <c r="F73">
        <v>0.004198000000000001</v>
      </c>
      <c r="G73">
        <v>0.0144</v>
      </c>
      <c r="H73">
        <v>0.075</v>
      </c>
      <c r="I73">
        <v>0.075</v>
      </c>
      <c r="J73">
        <v>0.075</v>
      </c>
      <c r="K73">
        <v>0.2358</v>
      </c>
      <c r="L73">
        <v>0.4573219999999965</v>
      </c>
      <c r="M73">
        <v>0.5608</v>
      </c>
      <c r="N73">
        <v>0</v>
      </c>
    </row>
    <row r="74" spans="1:14">
      <c r="A74" s="1" t="s">
        <v>8</v>
      </c>
      <c r="B74">
        <v>15285</v>
      </c>
      <c r="C74">
        <v>0.006283572129538762</v>
      </c>
      <c r="D74">
        <v>0.01638748709774655</v>
      </c>
      <c r="E74">
        <v>0</v>
      </c>
      <c r="F74">
        <v>0</v>
      </c>
      <c r="G74">
        <v>0</v>
      </c>
      <c r="H74">
        <v>0</v>
      </c>
      <c r="I74">
        <v>0</v>
      </c>
      <c r="J74">
        <v>0.0039</v>
      </c>
      <c r="K74">
        <v>0.0311</v>
      </c>
      <c r="L74">
        <v>0.1203</v>
      </c>
      <c r="M74">
        <v>0.1203</v>
      </c>
      <c r="N74">
        <v>34714</v>
      </c>
    </row>
    <row r="75" spans="1:14">
      <c r="A75" s="1" t="s">
        <v>29</v>
      </c>
      <c r="B75">
        <v>49999</v>
      </c>
      <c r="C75">
        <v>0.01348419668393369</v>
      </c>
      <c r="D75">
        <v>0.03746672777238225</v>
      </c>
      <c r="E75">
        <v>0</v>
      </c>
      <c r="F75">
        <v>0</v>
      </c>
      <c r="G75">
        <v>0</v>
      </c>
      <c r="H75">
        <v>0.0031</v>
      </c>
      <c r="I75">
        <v>0.0031</v>
      </c>
      <c r="J75">
        <v>0.0031</v>
      </c>
      <c r="K75">
        <v>0.07450999999999985</v>
      </c>
      <c r="L75">
        <v>0.2076039999999994</v>
      </c>
      <c r="M75">
        <v>0.3185140000000017</v>
      </c>
      <c r="N75">
        <v>0</v>
      </c>
    </row>
    <row r="76" spans="1:14">
      <c r="A76" s="1" t="s">
        <v>50</v>
      </c>
      <c r="B76">
        <v>49999</v>
      </c>
      <c r="C76">
        <v>0.08539905998119962</v>
      </c>
      <c r="D76">
        <v>0.07350136740467347</v>
      </c>
      <c r="E76">
        <v>0.0016</v>
      </c>
      <c r="F76">
        <v>0.0026</v>
      </c>
      <c r="G76">
        <v>0.0116</v>
      </c>
      <c r="H76">
        <v>0.0667</v>
      </c>
      <c r="I76">
        <v>0.06850000000000001</v>
      </c>
      <c r="J76">
        <v>0.0701</v>
      </c>
      <c r="K76">
        <v>0.2319099999999998</v>
      </c>
      <c r="L76">
        <v>0.4406039999999993</v>
      </c>
      <c r="M76">
        <v>0.5268</v>
      </c>
      <c r="N76">
        <v>0</v>
      </c>
    </row>
    <row r="77" spans="1:14">
      <c r="A77" s="1" t="s">
        <v>62</v>
      </c>
      <c r="B77">
        <v>49999</v>
      </c>
      <c r="C77">
        <v>1.388607772155443</v>
      </c>
      <c r="D77">
        <v>2.159966119615285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6</v>
      </c>
      <c r="L77">
        <v>10</v>
      </c>
      <c r="M77">
        <v>10</v>
      </c>
      <c r="N77">
        <v>0</v>
      </c>
    </row>
    <row r="78" spans="1:14">
      <c r="A78" s="1" t="s">
        <v>61</v>
      </c>
      <c r="B78">
        <v>49999</v>
      </c>
      <c r="C78">
        <v>0.1354027080541611</v>
      </c>
      <c r="D78">
        <v>0.402731872401364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2</v>
      </c>
      <c r="M78">
        <v>2</v>
      </c>
      <c r="N78">
        <v>0</v>
      </c>
    </row>
    <row r="79" spans="1:14">
      <c r="A79" s="1" t="s">
        <v>63</v>
      </c>
      <c r="B79">
        <v>49999</v>
      </c>
      <c r="C79">
        <v>1.372587451749035</v>
      </c>
      <c r="D79">
        <v>2.144086111012662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6</v>
      </c>
      <c r="L79">
        <v>10</v>
      </c>
      <c r="M79">
        <v>10</v>
      </c>
      <c r="N79">
        <v>0</v>
      </c>
    </row>
    <row r="80" spans="1:14">
      <c r="A80" s="1" t="s">
        <v>64</v>
      </c>
      <c r="B80">
        <v>49999</v>
      </c>
      <c r="C80">
        <v>0.09518190363807276</v>
      </c>
      <c r="D80">
        <v>0.3349105447946493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2</v>
      </c>
      <c r="M80">
        <v>2</v>
      </c>
      <c r="N80">
        <v>0</v>
      </c>
    </row>
    <row r="81" spans="1:14">
      <c r="A81" s="1" t="s">
        <v>72</v>
      </c>
      <c r="B81">
        <v>49999</v>
      </c>
      <c r="C81">
        <v>-962.3652473049461</v>
      </c>
      <c r="D81">
        <v>823.9809576791317</v>
      </c>
      <c r="E81">
        <v>-3158.06</v>
      </c>
      <c r="F81">
        <v>-3158.0012</v>
      </c>
      <c r="G81">
        <v>-2527</v>
      </c>
      <c r="H81">
        <v>-1573</v>
      </c>
      <c r="I81">
        <v>-755</v>
      </c>
      <c r="J81">
        <v>-270</v>
      </c>
      <c r="K81">
        <v>0</v>
      </c>
      <c r="L81">
        <v>0</v>
      </c>
      <c r="M81">
        <v>0</v>
      </c>
      <c r="N81">
        <v>0</v>
      </c>
    </row>
    <row r="82" spans="1:14">
      <c r="A82" s="1" t="s">
        <v>73</v>
      </c>
      <c r="B82">
        <v>49999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 t="s">
        <v>74</v>
      </c>
      <c r="B83">
        <v>49999</v>
      </c>
      <c r="C83">
        <v>0.7122542450849016</v>
      </c>
      <c r="D83">
        <v>0.4527165057407477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</row>
    <row r="84" spans="1:14">
      <c r="A84" s="1" t="s">
        <v>75</v>
      </c>
      <c r="B84">
        <v>49999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 t="s">
        <v>76</v>
      </c>
      <c r="B85">
        <v>49999</v>
      </c>
      <c r="C85">
        <v>0.01570031400628013</v>
      </c>
      <c r="D85">
        <v>0.1243146139238296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</row>
    <row r="86" spans="1:14">
      <c r="A86" s="1" t="s">
        <v>77</v>
      </c>
      <c r="B86">
        <v>49999</v>
      </c>
      <c r="C86">
        <v>0.08670173403468069</v>
      </c>
      <c r="D86">
        <v>0.2814002969157591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</row>
    <row r="87" spans="1:14">
      <c r="A87" s="1" t="s">
        <v>78</v>
      </c>
      <c r="B87">
        <v>49999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 t="s">
        <v>68</v>
      </c>
      <c r="B88">
        <v>49999</v>
      </c>
      <c r="C88">
        <v>0.08076161523230464</v>
      </c>
      <c r="D88">
        <v>0.2724713958937751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</row>
    <row r="89" spans="1:14">
      <c r="A89" s="1" t="s">
        <v>79</v>
      </c>
      <c r="B89">
        <v>49999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s="1" t="s">
        <v>81</v>
      </c>
      <c r="B90">
        <v>49999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 t="s">
        <v>82</v>
      </c>
      <c r="B91">
        <v>49999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 t="s">
        <v>92</v>
      </c>
      <c r="B92">
        <v>49999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 t="s">
        <v>84</v>
      </c>
      <c r="B93">
        <v>49999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s="1" t="s">
        <v>85</v>
      </c>
      <c r="B94">
        <v>49999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 t="s">
        <v>86</v>
      </c>
      <c r="B95">
        <v>49999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 t="s">
        <v>87</v>
      </c>
      <c r="B96">
        <v>49999</v>
      </c>
      <c r="C96">
        <v>0.01002020040400808</v>
      </c>
      <c r="D96">
        <v>0.09959916862970045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</row>
    <row r="97" spans="1:14">
      <c r="A97" s="1" t="s">
        <v>88</v>
      </c>
      <c r="B97">
        <v>49999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 t="s">
        <v>89</v>
      </c>
      <c r="B98">
        <v>49999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 t="s">
        <v>90</v>
      </c>
      <c r="B99">
        <v>49999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 t="s">
        <v>91</v>
      </c>
      <c r="B100">
        <v>49999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 t="s">
        <v>80</v>
      </c>
      <c r="B101">
        <v>49999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 t="s">
        <v>54</v>
      </c>
      <c r="B102">
        <v>49999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 t="s">
        <v>55</v>
      </c>
      <c r="B103">
        <v>49999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 t="s">
        <v>56</v>
      </c>
      <c r="B104">
        <v>49999</v>
      </c>
      <c r="C104">
        <v>0.02628052561051221</v>
      </c>
      <c r="D104">
        <v>0.159969907800848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</row>
    <row r="105" spans="1:14">
      <c r="A105" s="1" t="s">
        <v>57</v>
      </c>
      <c r="B105">
        <v>49999</v>
      </c>
      <c r="C105">
        <v>0.2063041260825217</v>
      </c>
      <c r="D105">
        <v>0.6068230286967545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4</v>
      </c>
      <c r="M105">
        <v>4</v>
      </c>
      <c r="N105">
        <v>0</v>
      </c>
    </row>
    <row r="106" spans="1:14">
      <c r="A106" s="1" t="s">
        <v>58</v>
      </c>
      <c r="B106">
        <v>49999</v>
      </c>
      <c r="C106">
        <v>0.2163243264865297</v>
      </c>
      <c r="D106">
        <v>0.5261328675593332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2</v>
      </c>
      <c r="M106">
        <v>2</v>
      </c>
      <c r="N106">
        <v>0</v>
      </c>
    </row>
    <row r="107" spans="1:14">
      <c r="A107" s="1" t="s">
        <v>59</v>
      </c>
      <c r="B107">
        <v>49999</v>
      </c>
      <c r="C107">
        <v>1.756395127902558</v>
      </c>
      <c r="D107">
        <v>1.732841009058699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3</v>
      </c>
      <c r="K107">
        <v>5</v>
      </c>
      <c r="L107">
        <v>8</v>
      </c>
      <c r="M107">
        <v>8</v>
      </c>
      <c r="N107">
        <v>0</v>
      </c>
    </row>
    <row r="108" spans="1:14">
      <c r="A108" s="1" t="s">
        <v>147</v>
      </c>
      <c r="B108">
        <v>49999</v>
      </c>
      <c r="C108">
        <v>43.86407574831852</v>
      </c>
      <c r="D108">
        <v>11.91346599996087</v>
      </c>
      <c r="E108">
        <v>22.57084188911704</v>
      </c>
      <c r="F108">
        <v>22.57084188911704</v>
      </c>
      <c r="G108">
        <v>25.68624229979466</v>
      </c>
      <c r="H108">
        <v>33.89048596851471</v>
      </c>
      <c r="I108">
        <v>43.06913073237509</v>
      </c>
      <c r="J108">
        <v>53.782340862423</v>
      </c>
      <c r="K108">
        <v>63.50992470910335</v>
      </c>
      <c r="L108">
        <v>66.87474442162903</v>
      </c>
      <c r="M108">
        <v>66.87479808350444</v>
      </c>
      <c r="N108">
        <v>0</v>
      </c>
    </row>
    <row r="109" spans="1:14">
      <c r="A109" s="1" t="s">
        <v>148</v>
      </c>
      <c r="B109">
        <v>49999</v>
      </c>
      <c r="C109">
        <v>-173.1292217083219</v>
      </c>
      <c r="D109">
        <v>385.4511132029188</v>
      </c>
      <c r="E109">
        <v>-999.98083504449</v>
      </c>
      <c r="F109">
        <v>-999.98083504449</v>
      </c>
      <c r="G109">
        <v>-999.98083504449</v>
      </c>
      <c r="H109">
        <v>0.7994524298425736</v>
      </c>
      <c r="I109">
        <v>3.342915811088296</v>
      </c>
      <c r="J109">
        <v>7.627652292950034</v>
      </c>
      <c r="K109">
        <v>18.68364134154688</v>
      </c>
      <c r="L109">
        <v>29.95757316906228</v>
      </c>
      <c r="M109">
        <v>29.95805612594114</v>
      </c>
      <c r="N109">
        <v>0</v>
      </c>
    </row>
    <row r="110" spans="1:14">
      <c r="A110" s="1" t="s">
        <v>149</v>
      </c>
      <c r="B110">
        <v>49999</v>
      </c>
      <c r="C110">
        <v>3.951160359717587</v>
      </c>
      <c r="D110">
        <v>2.648067112609314</v>
      </c>
      <c r="E110">
        <v>0.2515555555555555</v>
      </c>
      <c r="F110">
        <v>0.6288888888888889</v>
      </c>
      <c r="G110">
        <v>1</v>
      </c>
      <c r="H110">
        <v>2.03679375</v>
      </c>
      <c r="I110">
        <v>3.290588235294118</v>
      </c>
      <c r="J110">
        <v>5.143048177456448</v>
      </c>
      <c r="K110">
        <v>9.042</v>
      </c>
      <c r="L110">
        <v>12.91675904761903</v>
      </c>
      <c r="M110">
        <v>41.06007999999999</v>
      </c>
      <c r="N110">
        <v>0</v>
      </c>
    </row>
    <row r="111" spans="1:14">
      <c r="A111" s="1" t="s">
        <v>150</v>
      </c>
      <c r="B111">
        <v>49999</v>
      </c>
      <c r="C111">
        <v>0.1804260180950574</v>
      </c>
      <c r="D111">
        <v>0.09230543278164662</v>
      </c>
      <c r="E111">
        <v>0.01524444444444444</v>
      </c>
      <c r="F111">
        <v>0.04131834226804124</v>
      </c>
      <c r="G111">
        <v>0.0643</v>
      </c>
      <c r="H111">
        <v>0.1152955026455026</v>
      </c>
      <c r="I111">
        <v>0.1626333333333333</v>
      </c>
      <c r="J111">
        <v>0.2280833333333333</v>
      </c>
      <c r="K111">
        <v>0.3517</v>
      </c>
      <c r="L111">
        <v>0.4711607692307681</v>
      </c>
      <c r="M111">
        <v>1.3015</v>
      </c>
      <c r="N1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B1" s="1" t="s">
        <v>151</v>
      </c>
      <c r="C1" s="1" t="s">
        <v>152</v>
      </c>
    </row>
    <row r="2" spans="1:3">
      <c r="A2" s="1" t="s">
        <v>65</v>
      </c>
      <c r="B2">
        <v>-0.1579806832529902</v>
      </c>
      <c r="C2">
        <v>0.1579806832529902</v>
      </c>
    </row>
    <row r="3" spans="1:3">
      <c r="A3" s="1" t="s">
        <v>53</v>
      </c>
      <c r="B3">
        <v>-0.1579470237996534</v>
      </c>
      <c r="C3">
        <v>0.1579470237996534</v>
      </c>
    </row>
    <row r="4" spans="1:3">
      <c r="A4" s="1" t="s">
        <v>26</v>
      </c>
      <c r="B4">
        <v>-0.09917580035070561</v>
      </c>
      <c r="C4">
        <v>0.09917580035070561</v>
      </c>
    </row>
    <row r="5" spans="1:3">
      <c r="A5" s="1" t="s">
        <v>117</v>
      </c>
      <c r="B5">
        <v>0.07684805241735194</v>
      </c>
      <c r="C5">
        <v>0.07684805241735194</v>
      </c>
    </row>
    <row r="6" spans="1:3">
      <c r="A6" s="1" t="s">
        <v>147</v>
      </c>
      <c r="B6">
        <v>-0.07684805241735193</v>
      </c>
      <c r="C6">
        <v>0.07684805241735193</v>
      </c>
    </row>
    <row r="7" spans="1:3">
      <c r="A7" s="1" t="s">
        <v>105</v>
      </c>
      <c r="B7">
        <v>0.06707929420864241</v>
      </c>
      <c r="C7">
        <v>0.06707929420864241</v>
      </c>
    </row>
    <row r="8" spans="1:3">
      <c r="A8" s="1" t="s">
        <v>106</v>
      </c>
      <c r="B8">
        <v>0.0661301481963292</v>
      </c>
      <c r="C8">
        <v>0.0661301481963292</v>
      </c>
    </row>
    <row r="9" spans="1:3">
      <c r="A9" s="1" t="s">
        <v>72</v>
      </c>
      <c r="B9">
        <v>0.05620282910571481</v>
      </c>
      <c r="C9">
        <v>0.05620282910571481</v>
      </c>
    </row>
    <row r="10" spans="1:3">
      <c r="A10" s="1" t="s">
        <v>97</v>
      </c>
      <c r="B10">
        <v>0.04845078696410679</v>
      </c>
      <c r="C10">
        <v>0.04845078696410679</v>
      </c>
    </row>
    <row r="11" spans="1:3">
      <c r="A11" s="1" t="s">
        <v>114</v>
      </c>
      <c r="B11">
        <v>0.04691335817961476</v>
      </c>
      <c r="C11">
        <v>0.04691335817961476</v>
      </c>
    </row>
    <row r="12" spans="1:3">
      <c r="A12" s="1" t="s">
        <v>74</v>
      </c>
      <c r="B12">
        <v>0.04505022766098254</v>
      </c>
      <c r="C12">
        <v>0.04505022766098254</v>
      </c>
    </row>
    <row r="13" spans="1:3">
      <c r="A13" s="1" t="s">
        <v>64</v>
      </c>
      <c r="B13">
        <v>0.0425339516919501</v>
      </c>
      <c r="C13">
        <v>0.0425339516919501</v>
      </c>
    </row>
    <row r="14" spans="1:3">
      <c r="A14" s="1" t="s">
        <v>115</v>
      </c>
      <c r="B14">
        <v>0.04221257762208643</v>
      </c>
      <c r="C14">
        <v>0.04221257762208643</v>
      </c>
    </row>
    <row r="15" spans="1:3">
      <c r="A15" s="1" t="s">
        <v>112</v>
      </c>
      <c r="B15">
        <v>0.04140843023477198</v>
      </c>
      <c r="C15">
        <v>0.04140843023477198</v>
      </c>
    </row>
    <row r="16" spans="1:3">
      <c r="A16" s="1" t="s">
        <v>66</v>
      </c>
      <c r="B16">
        <v>-0.041281559915826</v>
      </c>
      <c r="C16">
        <v>0.041281559915826</v>
      </c>
    </row>
    <row r="17" spans="1:3">
      <c r="A17" s="1" t="s">
        <v>61</v>
      </c>
      <c r="B17">
        <v>0.04085953372984338</v>
      </c>
      <c r="C17">
        <v>0.04085953372984338</v>
      </c>
    </row>
    <row r="18" spans="1:3">
      <c r="A18" s="1" t="s">
        <v>118</v>
      </c>
      <c r="B18">
        <v>-0.04076448896317984</v>
      </c>
      <c r="C18">
        <v>0.04076448896317984</v>
      </c>
    </row>
    <row r="19" spans="1:3">
      <c r="A19" s="1" t="s">
        <v>148</v>
      </c>
      <c r="B19">
        <v>0.04032292147217547</v>
      </c>
      <c r="C19">
        <v>0.04032292147217547</v>
      </c>
    </row>
    <row r="20" spans="1:3">
      <c r="A20" s="1" t="s">
        <v>116</v>
      </c>
      <c r="B20">
        <v>-0.04032292147217544</v>
      </c>
      <c r="C20">
        <v>0.04032292147217544</v>
      </c>
    </row>
    <row r="21" spans="1:3">
      <c r="A21" s="1" t="s">
        <v>19</v>
      </c>
      <c r="B21">
        <v>0.03962414790624191</v>
      </c>
      <c r="C21">
        <v>0.03962414790624191</v>
      </c>
    </row>
    <row r="22" spans="1:3">
      <c r="A22" s="1" t="s">
        <v>46</v>
      </c>
      <c r="B22">
        <v>-0.03913054364869634</v>
      </c>
      <c r="C22">
        <v>0.03913054364869634</v>
      </c>
    </row>
    <row r="23" spans="1:3">
      <c r="A23" s="1" t="s">
        <v>99</v>
      </c>
      <c r="B23">
        <v>0.03877309991601588</v>
      </c>
      <c r="C23">
        <v>0.03877309991601588</v>
      </c>
    </row>
    <row r="24" spans="1:3">
      <c r="A24" s="1" t="s">
        <v>31</v>
      </c>
      <c r="B24">
        <v>-0.03858409098973781</v>
      </c>
      <c r="C24">
        <v>0.03858409098973781</v>
      </c>
    </row>
    <row r="25" spans="1:3">
      <c r="A25" s="1" t="s">
        <v>45</v>
      </c>
      <c r="B25">
        <v>-0.03852613925888822</v>
      </c>
      <c r="C25">
        <v>0.03852613925888822</v>
      </c>
    </row>
    <row r="26" spans="1:3">
      <c r="A26" s="1" t="s">
        <v>30</v>
      </c>
      <c r="B26">
        <v>-0.03812147652081919</v>
      </c>
      <c r="C26">
        <v>0.03812147652081919</v>
      </c>
    </row>
    <row r="27" spans="1:3">
      <c r="A27" s="1" t="s">
        <v>44</v>
      </c>
      <c r="B27">
        <v>-0.03769240811643178</v>
      </c>
      <c r="C27">
        <v>0.03769240811643178</v>
      </c>
    </row>
    <row r="28" spans="1:3">
      <c r="A28" s="1" t="s">
        <v>32</v>
      </c>
      <c r="B28">
        <v>-0.03703784028798685</v>
      </c>
      <c r="C28">
        <v>0.03703784028798685</v>
      </c>
    </row>
    <row r="29" spans="1:3">
      <c r="A29" s="1" t="s">
        <v>13</v>
      </c>
      <c r="B29">
        <v>-0.0336768062408642</v>
      </c>
      <c r="C29">
        <v>0.0336768062408642</v>
      </c>
    </row>
    <row r="30" spans="1:3">
      <c r="A30" s="1" t="s">
        <v>15</v>
      </c>
      <c r="B30">
        <v>-0.03331452401713731</v>
      </c>
      <c r="C30">
        <v>0.03331452401713731</v>
      </c>
    </row>
    <row r="31" spans="1:3">
      <c r="A31" s="1" t="s">
        <v>50</v>
      </c>
      <c r="B31">
        <v>-0.03286757572571884</v>
      </c>
      <c r="C31">
        <v>0.03286757572571884</v>
      </c>
    </row>
    <row r="32" spans="1:3">
      <c r="A32" s="1" t="s">
        <v>14</v>
      </c>
      <c r="B32">
        <v>-0.03270390042004418</v>
      </c>
      <c r="C32">
        <v>0.03270390042004418</v>
      </c>
    </row>
    <row r="33" spans="1:3">
      <c r="A33" s="1" t="s">
        <v>95</v>
      </c>
      <c r="B33">
        <v>-0.03267941344319362</v>
      </c>
      <c r="C33">
        <v>0.03267941344319362</v>
      </c>
    </row>
    <row r="34" spans="1:3">
      <c r="A34" s="1" t="s">
        <v>96</v>
      </c>
      <c r="B34">
        <v>0.03226132259371993</v>
      </c>
      <c r="C34">
        <v>0.03226132259371993</v>
      </c>
    </row>
    <row r="35" spans="1:3">
      <c r="A35" s="1" t="s">
        <v>93</v>
      </c>
      <c r="B35">
        <v>-0.03210905319537357</v>
      </c>
      <c r="C35">
        <v>0.03210905319537357</v>
      </c>
    </row>
    <row r="36" spans="1:3">
      <c r="A36" s="1" t="s">
        <v>103</v>
      </c>
      <c r="B36">
        <v>-0.03176380172313198</v>
      </c>
      <c r="C36">
        <v>0.03176380172313198</v>
      </c>
    </row>
    <row r="37" spans="1:3">
      <c r="A37" s="1" t="s">
        <v>40</v>
      </c>
      <c r="B37">
        <v>-0.02968954214931262</v>
      </c>
      <c r="C37">
        <v>0.02968954214931262</v>
      </c>
    </row>
    <row r="38" spans="1:3">
      <c r="A38" s="1" t="s">
        <v>42</v>
      </c>
      <c r="B38">
        <v>-0.02943667083957298</v>
      </c>
      <c r="C38">
        <v>0.02943667083957298</v>
      </c>
    </row>
    <row r="39" spans="1:3">
      <c r="A39" s="1" t="s">
        <v>41</v>
      </c>
      <c r="B39">
        <v>-0.02737444296229006</v>
      </c>
      <c r="C39">
        <v>0.02737444296229006</v>
      </c>
    </row>
    <row r="40" spans="1:3">
      <c r="A40" s="1" t="s">
        <v>34</v>
      </c>
      <c r="B40">
        <v>-0.02676778452817804</v>
      </c>
      <c r="C40">
        <v>0.02676778452817804</v>
      </c>
    </row>
    <row r="41" spans="1:3">
      <c r="A41" s="1" t="s">
        <v>35</v>
      </c>
      <c r="B41">
        <v>-0.02656381814764893</v>
      </c>
      <c r="C41">
        <v>0.02656381814764893</v>
      </c>
    </row>
    <row r="42" spans="1:3">
      <c r="A42" s="1" t="s">
        <v>77</v>
      </c>
      <c r="B42">
        <v>-0.02613708254627108</v>
      </c>
      <c r="C42">
        <v>0.02613708254627108</v>
      </c>
    </row>
    <row r="43" spans="1:3">
      <c r="A43" s="1" t="s">
        <v>36</v>
      </c>
      <c r="B43">
        <v>-0.02524885262094148</v>
      </c>
      <c r="C43">
        <v>0.02524885262094148</v>
      </c>
    </row>
    <row r="44" spans="1:3">
      <c r="A44" s="1" t="s">
        <v>67</v>
      </c>
      <c r="B44">
        <v>0.02460130941112703</v>
      </c>
      <c r="C44">
        <v>0.02460130941112703</v>
      </c>
    </row>
    <row r="45" spans="1:3">
      <c r="A45" s="1" t="s">
        <v>94</v>
      </c>
      <c r="B45">
        <v>-0.02289045143117288</v>
      </c>
      <c r="C45">
        <v>0.02289045143117288</v>
      </c>
    </row>
    <row r="46" spans="1:3">
      <c r="A46" s="1" t="s">
        <v>27</v>
      </c>
      <c r="B46">
        <v>-0.02202487790046561</v>
      </c>
      <c r="C46">
        <v>0.02202487790046561</v>
      </c>
    </row>
    <row r="47" spans="1:3">
      <c r="A47" s="1" t="s">
        <v>10</v>
      </c>
      <c r="B47">
        <v>-0.02172752136854624</v>
      </c>
      <c r="C47">
        <v>0.02172752136854624</v>
      </c>
    </row>
    <row r="48" spans="1:3">
      <c r="A48" s="1" t="s">
        <v>28</v>
      </c>
      <c r="B48">
        <v>-0.02167581853449127</v>
      </c>
      <c r="C48">
        <v>0.02167581853449127</v>
      </c>
    </row>
    <row r="49" spans="1:3">
      <c r="A49" s="1" t="s">
        <v>29</v>
      </c>
      <c r="B49">
        <v>-0.02136932557243378</v>
      </c>
      <c r="C49">
        <v>0.02136932557243378</v>
      </c>
    </row>
    <row r="50" spans="1:3">
      <c r="A50" s="1" t="s">
        <v>111</v>
      </c>
      <c r="B50">
        <v>0.02130213392604255</v>
      </c>
      <c r="C50">
        <v>0.02130213392604255</v>
      </c>
    </row>
    <row r="51" spans="1:3">
      <c r="A51" s="1" t="s">
        <v>11</v>
      </c>
      <c r="B51">
        <v>-0.02106997073408557</v>
      </c>
      <c r="C51">
        <v>0.02106997073408557</v>
      </c>
    </row>
    <row r="52" spans="1:3">
      <c r="A52" s="1" t="s">
        <v>9</v>
      </c>
      <c r="B52">
        <v>-0.01978500532156516</v>
      </c>
      <c r="C52">
        <v>0.01978500532156516</v>
      </c>
    </row>
    <row r="53" spans="1:3">
      <c r="A53" s="1" t="s">
        <v>150</v>
      </c>
      <c r="B53">
        <v>0.01883386457113288</v>
      </c>
      <c r="C53">
        <v>0.01883386457113288</v>
      </c>
    </row>
    <row r="54" spans="1:3">
      <c r="A54" s="1" t="s">
        <v>3</v>
      </c>
      <c r="B54">
        <v>-0.01643945680060634</v>
      </c>
      <c r="C54">
        <v>0.01643945680060634</v>
      </c>
    </row>
    <row r="55" spans="1:3">
      <c r="A55" s="1" t="s">
        <v>4</v>
      </c>
      <c r="B55">
        <v>-0.01630589984212702</v>
      </c>
      <c r="C55">
        <v>0.01630589984212702</v>
      </c>
    </row>
    <row r="56" spans="1:3">
      <c r="A56" s="1" t="s">
        <v>62</v>
      </c>
      <c r="B56">
        <v>0.01601019114918737</v>
      </c>
      <c r="C56">
        <v>0.01601019114918737</v>
      </c>
    </row>
    <row r="57" spans="1:3">
      <c r="A57" s="1" t="s">
        <v>63</v>
      </c>
      <c r="B57">
        <v>0.01587157478040092</v>
      </c>
      <c r="C57">
        <v>0.01587157478040092</v>
      </c>
    </row>
    <row r="58" spans="1:3">
      <c r="A58" s="1" t="s">
        <v>59</v>
      </c>
      <c r="B58">
        <v>0.01585412416843681</v>
      </c>
      <c r="C58">
        <v>0.01585412416843681</v>
      </c>
    </row>
    <row r="59" spans="1:3">
      <c r="A59" s="1" t="s">
        <v>49</v>
      </c>
      <c r="B59">
        <v>-0.01571066225381344</v>
      </c>
      <c r="C59">
        <v>0.01571066225381344</v>
      </c>
    </row>
    <row r="60" spans="1:3">
      <c r="A60" s="1" t="s">
        <v>48</v>
      </c>
      <c r="B60">
        <v>-0.01568611779724394</v>
      </c>
      <c r="C60">
        <v>0.01568611779724394</v>
      </c>
    </row>
    <row r="61" spans="1:3">
      <c r="A61" s="1" t="s">
        <v>24</v>
      </c>
      <c r="B61">
        <v>-0.01554840164595</v>
      </c>
      <c r="C61">
        <v>0.01554840164595</v>
      </c>
    </row>
    <row r="62" spans="1:3">
      <c r="A62" s="1" t="s">
        <v>23</v>
      </c>
      <c r="B62">
        <v>-0.01519637011630282</v>
      </c>
      <c r="C62">
        <v>0.01519637011630282</v>
      </c>
    </row>
    <row r="63" spans="1:3">
      <c r="A63" s="1" t="s">
        <v>17</v>
      </c>
      <c r="B63">
        <v>-0.01499750951541239</v>
      </c>
      <c r="C63">
        <v>0.01499750951541239</v>
      </c>
    </row>
    <row r="64" spans="1:3">
      <c r="A64" s="1" t="s">
        <v>47</v>
      </c>
      <c r="B64">
        <v>-0.01496091263207355</v>
      </c>
      <c r="C64">
        <v>0.01496091263207355</v>
      </c>
    </row>
    <row r="65" spans="1:3">
      <c r="A65" s="1" t="s">
        <v>25</v>
      </c>
      <c r="B65">
        <v>-0.01477225366821604</v>
      </c>
      <c r="C65">
        <v>0.01477225366821604</v>
      </c>
    </row>
    <row r="66" spans="1:3">
      <c r="A66" s="1" t="s">
        <v>18</v>
      </c>
      <c r="B66">
        <v>-0.01459492799370938</v>
      </c>
      <c r="C66">
        <v>0.01459492799370938</v>
      </c>
    </row>
    <row r="67" spans="1:3">
      <c r="A67" s="1" t="s">
        <v>16</v>
      </c>
      <c r="B67">
        <v>-0.01453671787161586</v>
      </c>
      <c r="C67">
        <v>0.01453671787161586</v>
      </c>
    </row>
    <row r="68" spans="1:3">
      <c r="A68" s="1" t="s">
        <v>38</v>
      </c>
      <c r="B68">
        <v>-0.01364562663450784</v>
      </c>
      <c r="C68">
        <v>0.01364562663450784</v>
      </c>
    </row>
    <row r="69" spans="1:3">
      <c r="A69" s="1" t="s">
        <v>37</v>
      </c>
      <c r="B69">
        <v>-0.01334495458172893</v>
      </c>
      <c r="C69">
        <v>0.01334495458172893</v>
      </c>
    </row>
    <row r="70" spans="1:3">
      <c r="A70" s="1" t="s">
        <v>5</v>
      </c>
      <c r="B70">
        <v>-0.01299892904528429</v>
      </c>
      <c r="C70">
        <v>0.01299892904528429</v>
      </c>
    </row>
    <row r="71" spans="1:3">
      <c r="A71" s="1" t="s">
        <v>57</v>
      </c>
      <c r="B71">
        <v>-0.01266789130835211</v>
      </c>
      <c r="C71">
        <v>0.01266789130835211</v>
      </c>
    </row>
    <row r="72" spans="1:3">
      <c r="A72" s="1" t="s">
        <v>107</v>
      </c>
      <c r="B72">
        <v>0.01144681856574456</v>
      </c>
      <c r="C72">
        <v>0.01144681856574456</v>
      </c>
    </row>
    <row r="73" spans="1:3">
      <c r="A73" s="1" t="s">
        <v>21</v>
      </c>
      <c r="B73">
        <v>-0.01052459269971559</v>
      </c>
      <c r="C73">
        <v>0.01052459269971559</v>
      </c>
    </row>
    <row r="74" spans="1:3">
      <c r="A74" s="1" t="s">
        <v>39</v>
      </c>
      <c r="B74">
        <v>-0.0105176211588374</v>
      </c>
      <c r="C74">
        <v>0.0105176211588374</v>
      </c>
    </row>
    <row r="75" spans="1:3">
      <c r="A75" s="1" t="s">
        <v>20</v>
      </c>
      <c r="B75">
        <v>-0.0103984190950569</v>
      </c>
      <c r="C75">
        <v>0.0103984190950569</v>
      </c>
    </row>
    <row r="76" spans="1:3">
      <c r="A76" s="1" t="s">
        <v>123</v>
      </c>
      <c r="B76">
        <v>-0.01002815912776714</v>
      </c>
      <c r="C76">
        <v>0.01002815912776714</v>
      </c>
    </row>
    <row r="77" spans="1:3">
      <c r="A77" s="1" t="s">
        <v>22</v>
      </c>
      <c r="B77">
        <v>-0.009764118930575183</v>
      </c>
      <c r="C77">
        <v>0.009764118930575183</v>
      </c>
    </row>
    <row r="78" spans="1:3">
      <c r="A78" s="1" t="s">
        <v>102</v>
      </c>
      <c r="B78">
        <v>0.009438717086902745</v>
      </c>
      <c r="C78">
        <v>0.009438717086902745</v>
      </c>
    </row>
    <row r="79" spans="1:3">
      <c r="A79" s="1" t="s">
        <v>87</v>
      </c>
      <c r="B79">
        <v>-0.00910798225120227</v>
      </c>
      <c r="C79">
        <v>0.00910798225120227</v>
      </c>
    </row>
    <row r="80" spans="1:3">
      <c r="A80" s="1" t="s">
        <v>68</v>
      </c>
      <c r="B80">
        <v>-0.008672126637878839</v>
      </c>
      <c r="C80">
        <v>0.008672126637878839</v>
      </c>
    </row>
    <row r="81" spans="1:3">
      <c r="A81" s="1" t="s">
        <v>149</v>
      </c>
      <c r="B81">
        <v>-0.007126895097643829</v>
      </c>
      <c r="C81">
        <v>0.007126895097643829</v>
      </c>
    </row>
    <row r="82" spans="1:3">
      <c r="A82" s="1" t="s">
        <v>58</v>
      </c>
      <c r="B82">
        <v>-0.006275916504814733</v>
      </c>
      <c r="C82">
        <v>0.006275916504814733</v>
      </c>
    </row>
    <row r="83" spans="1:3">
      <c r="A83" s="1" t="s">
        <v>100</v>
      </c>
      <c r="B83">
        <v>-0.005497851599490429</v>
      </c>
      <c r="C83">
        <v>0.005497851599490429</v>
      </c>
    </row>
    <row r="84" spans="1:3">
      <c r="A84" s="1" t="s">
        <v>56</v>
      </c>
      <c r="B84">
        <v>0.003765353079471759</v>
      </c>
      <c r="C84">
        <v>0.003765353079471759</v>
      </c>
    </row>
    <row r="85" spans="1:3">
      <c r="A85" s="1" t="s">
        <v>76</v>
      </c>
      <c r="B85">
        <v>-0.00308025667081773</v>
      </c>
      <c r="C85">
        <v>0.00308025667081773</v>
      </c>
    </row>
    <row r="86" spans="1:3">
      <c r="A86" s="1" t="s">
        <v>6</v>
      </c>
      <c r="B86">
        <v>-0.003034200106202368</v>
      </c>
      <c r="C86">
        <v>0.003034200106202368</v>
      </c>
    </row>
    <row r="87" spans="1:3">
      <c r="A87" s="1" t="s">
        <v>7</v>
      </c>
      <c r="B87">
        <v>-0.002330706010933927</v>
      </c>
      <c r="C87">
        <v>0.002330706010933927</v>
      </c>
    </row>
    <row r="88" spans="1:3">
      <c r="A88" s="1" t="s">
        <v>108</v>
      </c>
      <c r="B88">
        <v>-0.001311805421910516</v>
      </c>
      <c r="C88">
        <v>0.001311805421910516</v>
      </c>
    </row>
    <row r="89" spans="1:3">
      <c r="A89" s="1" t="s">
        <v>8</v>
      </c>
      <c r="B89">
        <v>-0.001273296216577431</v>
      </c>
      <c r="C89">
        <v>0.001273296216577431</v>
      </c>
    </row>
    <row r="90" spans="1:3">
      <c r="A90" s="1" t="s">
        <v>101</v>
      </c>
      <c r="B90">
        <v>-0.001006442688765196</v>
      </c>
      <c r="C90">
        <v>0.001006442688765196</v>
      </c>
    </row>
    <row r="91" spans="1:3">
      <c r="A91" s="1" t="s">
        <v>113</v>
      </c>
    </row>
    <row r="92" spans="1:3">
      <c r="A92" s="1" t="s">
        <v>109</v>
      </c>
    </row>
    <row r="93" spans="1:3">
      <c r="A93" s="1" t="s">
        <v>73</v>
      </c>
    </row>
    <row r="94" spans="1:3">
      <c r="A94" s="1" t="s">
        <v>75</v>
      </c>
    </row>
    <row r="95" spans="1:3">
      <c r="A95" s="1" t="s">
        <v>78</v>
      </c>
    </row>
    <row r="96" spans="1:3">
      <c r="A96" s="1" t="s">
        <v>79</v>
      </c>
    </row>
    <row r="97" spans="1:1">
      <c r="A97" s="1" t="s">
        <v>81</v>
      </c>
    </row>
    <row r="98" spans="1:1">
      <c r="A98" s="1" t="s">
        <v>82</v>
      </c>
    </row>
    <row r="99" spans="1:1">
      <c r="A99" s="1" t="s">
        <v>92</v>
      </c>
    </row>
    <row r="100" spans="1:1">
      <c r="A100" s="1" t="s">
        <v>84</v>
      </c>
    </row>
    <row r="101" spans="1:1">
      <c r="A101" s="1" t="s">
        <v>85</v>
      </c>
    </row>
    <row r="102" spans="1:1">
      <c r="A102" s="1" t="s">
        <v>86</v>
      </c>
    </row>
    <row r="103" spans="1:1">
      <c r="A103" s="1" t="s">
        <v>88</v>
      </c>
    </row>
    <row r="104" spans="1:1">
      <c r="A104" s="1" t="s">
        <v>89</v>
      </c>
    </row>
    <row r="105" spans="1:1">
      <c r="A105" s="1" t="s">
        <v>90</v>
      </c>
    </row>
    <row r="106" spans="1:1">
      <c r="A106" s="1" t="s">
        <v>91</v>
      </c>
    </row>
    <row r="107" spans="1:1">
      <c r="A107" s="1" t="s">
        <v>80</v>
      </c>
    </row>
    <row r="108" spans="1:1">
      <c r="A108" s="1" t="s">
        <v>54</v>
      </c>
    </row>
    <row r="109" spans="1:1">
      <c r="A109" s="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151</v>
      </c>
      <c r="C1" s="1" t="s">
        <v>152</v>
      </c>
    </row>
    <row r="2" spans="1:3">
      <c r="A2" s="1" t="s">
        <v>153</v>
      </c>
      <c r="B2">
        <v>0.01822786244092881</v>
      </c>
      <c r="C2">
        <v>0.01822786244092881</v>
      </c>
    </row>
    <row r="3" spans="1:3">
      <c r="A3" s="1" t="s">
        <v>154</v>
      </c>
      <c r="B3">
        <v>-0.01489435591144849</v>
      </c>
      <c r="C3">
        <v>0.01489435591144849</v>
      </c>
    </row>
    <row r="4" spans="1:3">
      <c r="A4" s="1" t="s">
        <v>155</v>
      </c>
      <c r="B4">
        <v>0.0005972232734908843</v>
      </c>
      <c r="C4">
        <v>0.0005972232734908843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0.6377127542550851</v>
      </c>
    </row>
    <row r="3" spans="1:2">
      <c r="A3" t="s">
        <v>159</v>
      </c>
      <c r="B3">
        <v>0.1732034640692814</v>
      </c>
    </row>
    <row r="4" spans="1:2">
      <c r="A4" t="s">
        <v>160</v>
      </c>
      <c r="B4">
        <v>0.1719034380687614</v>
      </c>
    </row>
    <row r="5" spans="1:2">
      <c r="A5" t="s">
        <v>161</v>
      </c>
      <c r="B5">
        <v>0.01718034360687214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151</v>
      </c>
      <c r="C1" s="1" t="s">
        <v>152</v>
      </c>
    </row>
    <row r="2" spans="1:3">
      <c r="A2" s="1" t="s">
        <v>53</v>
      </c>
      <c r="B2">
        <v>-0.1629946166355608</v>
      </c>
      <c r="C2">
        <v>0.1629946166355608</v>
      </c>
    </row>
    <row r="3" spans="1:3">
      <c r="A3" s="1" t="s">
        <v>65</v>
      </c>
      <c r="B3">
        <v>-0.1596197591591829</v>
      </c>
      <c r="C3">
        <v>0.1596197591591829</v>
      </c>
    </row>
    <row r="4" spans="1:3">
      <c r="A4" s="1" t="s">
        <v>26</v>
      </c>
      <c r="B4">
        <v>-0.1020658149995724</v>
      </c>
      <c r="C4">
        <v>0.1020658149995724</v>
      </c>
    </row>
    <row r="5" spans="1:3">
      <c r="A5" s="1" t="s">
        <v>147</v>
      </c>
      <c r="B5">
        <v>-0.08222704286489148</v>
      </c>
      <c r="C5">
        <v>0.08222704286489148</v>
      </c>
    </row>
    <row r="6" spans="1:3">
      <c r="A6" s="1" t="s">
        <v>117</v>
      </c>
      <c r="B6">
        <v>0.08222704286489146</v>
      </c>
      <c r="C6">
        <v>0.08222704286489146</v>
      </c>
    </row>
    <row r="7" spans="1:3">
      <c r="A7" s="1" t="s">
        <v>105</v>
      </c>
      <c r="B7">
        <v>0.06587785187306362</v>
      </c>
      <c r="C7">
        <v>0.06587785187306362</v>
      </c>
    </row>
    <row r="8" spans="1:3">
      <c r="A8" s="1" t="s">
        <v>106</v>
      </c>
      <c r="B8">
        <v>0.06532024420456685</v>
      </c>
      <c r="C8">
        <v>0.06532024420456685</v>
      </c>
    </row>
    <row r="9" spans="1:3">
      <c r="A9" s="1" t="s">
        <v>72</v>
      </c>
      <c r="B9">
        <v>0.05827860335363939</v>
      </c>
      <c r="C9">
        <v>0.05827860335363939</v>
      </c>
    </row>
    <row r="10" spans="1:3">
      <c r="A10" s="1" t="s">
        <v>97</v>
      </c>
      <c r="B10">
        <v>0.05098198333550124</v>
      </c>
      <c r="C10">
        <v>0.05098198333550124</v>
      </c>
    </row>
    <row r="11" spans="1:3">
      <c r="A11" s="1" t="s">
        <v>66</v>
      </c>
      <c r="B11">
        <v>-0.04871951181588764</v>
      </c>
      <c r="C11">
        <v>0.04871951181588764</v>
      </c>
    </row>
    <row r="12" spans="1:3">
      <c r="A12" s="1" t="s">
        <v>114</v>
      </c>
      <c r="B12">
        <v>0.0485678434356871</v>
      </c>
      <c r="C12">
        <v>0.0485678434356871</v>
      </c>
    </row>
    <row r="13" spans="1:3">
      <c r="A13" s="1" t="s">
        <v>112</v>
      </c>
      <c r="B13">
        <v>0.04492917526895867</v>
      </c>
      <c r="C13">
        <v>0.04492917526895867</v>
      </c>
    </row>
    <row r="14" spans="1:3">
      <c r="A14" s="1" t="s">
        <v>115</v>
      </c>
      <c r="B14">
        <v>0.04468747931084941</v>
      </c>
      <c r="C14">
        <v>0.04468747931084941</v>
      </c>
    </row>
    <row r="15" spans="1:3">
      <c r="A15" s="1" t="s">
        <v>148</v>
      </c>
      <c r="B15">
        <v>0.04381631552214381</v>
      </c>
      <c r="C15">
        <v>0.04381631552214381</v>
      </c>
    </row>
    <row r="16" spans="1:3">
      <c r="A16" s="1" t="s">
        <v>116</v>
      </c>
      <c r="B16">
        <v>-0.04381631552214372</v>
      </c>
      <c r="C16">
        <v>0.04381631552214372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151</v>
      </c>
      <c r="C1" s="1" t="s">
        <v>152</v>
      </c>
    </row>
    <row r="2" spans="1:3">
      <c r="A2" s="1" t="s">
        <v>65</v>
      </c>
      <c r="B2">
        <v>-0.1333089189070174</v>
      </c>
      <c r="C2">
        <v>0.1333089189070174</v>
      </c>
    </row>
    <row r="3" spans="1:3">
      <c r="A3" s="1" t="s">
        <v>53</v>
      </c>
      <c r="B3">
        <v>-0.1041607228091042</v>
      </c>
      <c r="C3">
        <v>0.1041607228091042</v>
      </c>
    </row>
    <row r="4" spans="1:3">
      <c r="A4" s="1" t="s">
        <v>26</v>
      </c>
      <c r="B4">
        <v>-0.07924486755557048</v>
      </c>
      <c r="C4">
        <v>0.07924486755557048</v>
      </c>
    </row>
    <row r="5" spans="1:3">
      <c r="A5" s="1" t="s">
        <v>105</v>
      </c>
      <c r="B5">
        <v>0.07159541733736936</v>
      </c>
      <c r="C5">
        <v>0.07159541733736936</v>
      </c>
    </row>
    <row r="6" spans="1:3">
      <c r="A6" s="1" t="s">
        <v>106</v>
      </c>
      <c r="B6">
        <v>0.06717674016994848</v>
      </c>
      <c r="C6">
        <v>0.06717674016994848</v>
      </c>
    </row>
    <row r="7" spans="1:3">
      <c r="A7" s="1" t="s">
        <v>123</v>
      </c>
      <c r="B7">
        <v>-0.06662756291962747</v>
      </c>
      <c r="C7">
        <v>0.06662756291962747</v>
      </c>
    </row>
    <row r="8" spans="1:3">
      <c r="A8" s="1" t="s">
        <v>93</v>
      </c>
      <c r="B8">
        <v>-0.06561856216786213</v>
      </c>
      <c r="C8">
        <v>0.06561856216786213</v>
      </c>
    </row>
    <row r="9" spans="1:3">
      <c r="A9" s="1" t="s">
        <v>66</v>
      </c>
      <c r="B9">
        <v>-0.06399399745709403</v>
      </c>
      <c r="C9">
        <v>0.06399399745709403</v>
      </c>
    </row>
    <row r="10" spans="1:3">
      <c r="A10" s="1" t="s">
        <v>117</v>
      </c>
      <c r="B10">
        <v>0.06174667641143001</v>
      </c>
      <c r="C10">
        <v>0.06174667641143001</v>
      </c>
    </row>
    <row r="11" spans="1:3">
      <c r="A11" s="1" t="s">
        <v>147</v>
      </c>
      <c r="B11">
        <v>-0.06174667641142997</v>
      </c>
      <c r="C11">
        <v>0.06174667641142997</v>
      </c>
    </row>
    <row r="12" spans="1:3">
      <c r="A12" s="1" t="s">
        <v>72</v>
      </c>
      <c r="B12">
        <v>0.06068265475032313</v>
      </c>
      <c r="C12">
        <v>0.06068265475032313</v>
      </c>
    </row>
    <row r="13" spans="1:3">
      <c r="A13" s="1" t="s">
        <v>114</v>
      </c>
      <c r="B13">
        <v>0.05773443601947029</v>
      </c>
      <c r="C13">
        <v>0.05773443601947029</v>
      </c>
    </row>
    <row r="14" spans="1:3">
      <c r="A14" s="1" t="s">
        <v>118</v>
      </c>
      <c r="B14">
        <v>-0.05593136906182387</v>
      </c>
      <c r="C14">
        <v>0.05593136906182387</v>
      </c>
    </row>
    <row r="15" spans="1:3">
      <c r="A15" s="1" t="s">
        <v>94</v>
      </c>
      <c r="B15">
        <v>-0.051158098011521</v>
      </c>
      <c r="C15">
        <v>0.051158098011521</v>
      </c>
    </row>
    <row r="16" spans="1:3">
      <c r="A16" s="1" t="s">
        <v>14</v>
      </c>
      <c r="B16">
        <v>-0.04972843570321902</v>
      </c>
      <c r="C16">
        <v>0.04972843570321902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162</v>
      </c>
      <c r="B1" s="1" t="s">
        <v>163</v>
      </c>
    </row>
    <row r="2" spans="1:2">
      <c r="A2" t="s">
        <v>164</v>
      </c>
      <c r="B2">
        <f>COUNTIF(A2:A1000,"")  or  =SUMPRODUCT(--(A2:A1000=""))</f>
        <v>0</v>
      </c>
    </row>
    <row r="3" spans="1:2">
      <c r="A3" t="s">
        <v>165</v>
      </c>
      <c r="B3" t="s">
        <v>170</v>
      </c>
    </row>
    <row r="4" spans="1:2">
      <c r="A4" t="s">
        <v>166</v>
      </c>
      <c r="B4">
        <f>COUNTIF(TARGET_range,1)/COUNTA(TARGET_range)</f>
        <v>0</v>
      </c>
    </row>
    <row r="5" spans="1:2">
      <c r="A5" t="s">
        <v>167</v>
      </c>
      <c r="B5">
        <f>AVERAGE(A2:A1000)  and  =MEDIAN(A2:A1000)</f>
        <v>0</v>
      </c>
    </row>
    <row r="6" spans="1:2">
      <c r="A6" t="s">
        <v>168</v>
      </c>
      <c r="B6" t="s">
        <v>171</v>
      </c>
    </row>
    <row r="7" spans="1:2">
      <c r="A7" t="s">
        <v>169</v>
      </c>
      <c r="B7">
        <f>CORREL(X_range, TARGET_range)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A_Missingness</vt:lpstr>
      <vt:lpstr>B_Outliers_IQR</vt:lpstr>
      <vt:lpstr>C_ClassImbalance</vt:lpstr>
      <vt:lpstr>D1_Univariate_NumStats</vt:lpstr>
      <vt:lpstr>D2_Corr_with_TARGET</vt:lpstr>
      <vt:lpstr>E_Prev_Corr_TARGET</vt:lpstr>
      <vt:lpstr>Prev_Status_Shares</vt:lpstr>
      <vt:lpstr>D3_SegCorr_Cash loans</vt:lpstr>
      <vt:lpstr>D3_SegCorr_Revolving loans</vt:lpstr>
      <vt:lpstr>Excel_Tips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2025-08-16T11:38:30Z</dcterms:created>
  <dcterms:modified xsi:type="dcterms:W3CDTF">2025-08-16T11:38:30Z</dcterms:modified>
</cp:coreProperties>
</file>